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0_개인비서\"/>
    </mc:Choice>
  </mc:AlternateContent>
  <xr:revisionPtr revIDLastSave="0" documentId="11_ACFEFE71F9404FDA9BF30BB62F908E9C43145585" xr6:coauthVersionLast="47" xr6:coauthVersionMax="47" xr10:uidLastSave="{00000000-0000-0000-0000-000000000000}"/>
  <bookViews>
    <workbookView xWindow="3915" yWindow="4095" windowWidth="31875" windowHeight="20220" tabRatio="728" activeTab="2" xr2:uid="{00000000-000D-0000-FFFF-FFFF00000000}"/>
  </bookViews>
  <sheets>
    <sheet name="README" sheetId="1" r:id="rId1"/>
    <sheet name="상품마스터" sheetId="2" r:id="rId2"/>
    <sheet name="품목마스터" sheetId="3" r:id="rId3"/>
    <sheet name="BOM" sheetId="4" r:id="rId4"/>
    <sheet name="협력사마스터" sheetId="5" r:id="rId5"/>
    <sheet name="담당자마스터" sheetId="6" r:id="rId6"/>
    <sheet name="AVL" sheetId="7" r:id="rId7"/>
    <sheet name="NPI진행현황" sheetId="8" r:id="rId8"/>
    <sheet name="상품별완성률" sheetId="9" r:id="rId9"/>
    <sheet name="ECN변경이력" sheetId="10" r:id="rId10"/>
    <sheet name="코드표" sheetId="11" r:id="rId11"/>
  </sheets>
  <definedNames>
    <definedName name="_xlnm._FilterDatabase" localSheetId="6" hidden="1">AVL!$A$1:$M$300</definedName>
    <definedName name="_xlnm._FilterDatabase" localSheetId="3" hidden="1">BOM!$A$1:$J$300</definedName>
    <definedName name="_xlnm._FilterDatabase" localSheetId="9" hidden="1">ECN변경이력!$A$1:$N$300</definedName>
    <definedName name="_xlnm._FilterDatabase" localSheetId="7" hidden="1">NPI진행현황!$A$1:$N$300</definedName>
    <definedName name="_xlnm._FilterDatabase" localSheetId="5" hidden="1">담당자마스터!$A$1:$G$300</definedName>
    <definedName name="_xlnm._FilterDatabase" localSheetId="1" hidden="1">상품마스터!$A$1:$I$300</definedName>
    <definedName name="_xlnm._FilterDatabase" localSheetId="8" hidden="1">상품별완성률!$A$1:$O$300</definedName>
    <definedName name="_xlnm._FilterDatabase" localSheetId="2" hidden="1">품목마스터!$A$1:$K$300</definedName>
    <definedName name="_xlnm._FilterDatabase" localSheetId="4" hidden="1">협력사마스터!$A$1:$I$300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0" i="10" l="1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O51" i="9"/>
  <c r="N51" i="9"/>
  <c r="I51" i="9"/>
  <c r="H51" i="9"/>
  <c r="F51" i="9"/>
  <c r="D51" i="9"/>
  <c r="C51" i="9"/>
  <c r="B51" i="9"/>
  <c r="A51" i="9"/>
  <c r="M51" i="9" s="1"/>
  <c r="L50" i="9"/>
  <c r="K50" i="9"/>
  <c r="I50" i="9"/>
  <c r="G50" i="9"/>
  <c r="F50" i="9"/>
  <c r="E50" i="9"/>
  <c r="D50" i="9"/>
  <c r="A50" i="9"/>
  <c r="O50" i="9" s="1"/>
  <c r="O49" i="9"/>
  <c r="N49" i="9"/>
  <c r="L49" i="9"/>
  <c r="J49" i="9"/>
  <c r="I49" i="9"/>
  <c r="H49" i="9"/>
  <c r="C49" i="9"/>
  <c r="B49" i="9"/>
  <c r="A49" i="9"/>
  <c r="G49" i="9" s="1"/>
  <c r="L48" i="9"/>
  <c r="A48" i="9"/>
  <c r="K48" i="9" s="1"/>
  <c r="O47" i="9"/>
  <c r="N47" i="9"/>
  <c r="I47" i="9"/>
  <c r="H47" i="9"/>
  <c r="G47" i="9"/>
  <c r="F47" i="9"/>
  <c r="D47" i="9"/>
  <c r="C47" i="9"/>
  <c r="B47" i="9"/>
  <c r="A47" i="9"/>
  <c r="M47" i="9" s="1"/>
  <c r="L46" i="9"/>
  <c r="K46" i="9"/>
  <c r="J46" i="9"/>
  <c r="I46" i="9"/>
  <c r="G46" i="9"/>
  <c r="F46" i="9"/>
  <c r="E46" i="9"/>
  <c r="D46" i="9"/>
  <c r="A46" i="9"/>
  <c r="O46" i="9" s="1"/>
  <c r="O45" i="9"/>
  <c r="N45" i="9"/>
  <c r="L45" i="9"/>
  <c r="J45" i="9"/>
  <c r="I45" i="9"/>
  <c r="H45" i="9"/>
  <c r="C45" i="9"/>
  <c r="B45" i="9"/>
  <c r="A45" i="9"/>
  <c r="G45" i="9" s="1"/>
  <c r="L44" i="9"/>
  <c r="A44" i="9"/>
  <c r="K44" i="9" s="1"/>
  <c r="O43" i="9"/>
  <c r="N43" i="9"/>
  <c r="I43" i="9"/>
  <c r="H43" i="9"/>
  <c r="G43" i="9"/>
  <c r="F43" i="9"/>
  <c r="D43" i="9"/>
  <c r="C43" i="9"/>
  <c r="B43" i="9"/>
  <c r="A43" i="9"/>
  <c r="M43" i="9" s="1"/>
  <c r="L42" i="9"/>
  <c r="K42" i="9"/>
  <c r="J42" i="9"/>
  <c r="I42" i="9"/>
  <c r="G42" i="9"/>
  <c r="F42" i="9"/>
  <c r="E42" i="9"/>
  <c r="D42" i="9"/>
  <c r="A42" i="9"/>
  <c r="O42" i="9" s="1"/>
  <c r="O41" i="9"/>
  <c r="N41" i="9"/>
  <c r="L41" i="9"/>
  <c r="J41" i="9"/>
  <c r="I41" i="9"/>
  <c r="H41" i="9"/>
  <c r="C41" i="9"/>
  <c r="B41" i="9"/>
  <c r="A41" i="9"/>
  <c r="G41" i="9" s="1"/>
  <c r="L40" i="9"/>
  <c r="A40" i="9"/>
  <c r="K40" i="9" s="1"/>
  <c r="O39" i="9"/>
  <c r="N39" i="9"/>
  <c r="I39" i="9"/>
  <c r="H39" i="9"/>
  <c r="G39" i="9"/>
  <c r="F39" i="9"/>
  <c r="D39" i="9"/>
  <c r="C39" i="9"/>
  <c r="B39" i="9"/>
  <c r="A39" i="9"/>
  <c r="M39" i="9" s="1"/>
  <c r="L38" i="9"/>
  <c r="K38" i="9"/>
  <c r="J38" i="9"/>
  <c r="I38" i="9"/>
  <c r="G38" i="9"/>
  <c r="F38" i="9"/>
  <c r="E38" i="9"/>
  <c r="D38" i="9"/>
  <c r="A38" i="9"/>
  <c r="O38" i="9" s="1"/>
  <c r="O37" i="9"/>
  <c r="N37" i="9"/>
  <c r="L37" i="9"/>
  <c r="J37" i="9"/>
  <c r="I37" i="9"/>
  <c r="H37" i="9"/>
  <c r="C37" i="9"/>
  <c r="B37" i="9"/>
  <c r="A37" i="9"/>
  <c r="G37" i="9" s="1"/>
  <c r="L36" i="9"/>
  <c r="A36" i="9"/>
  <c r="K36" i="9" s="1"/>
  <c r="O35" i="9"/>
  <c r="N35" i="9"/>
  <c r="I35" i="9"/>
  <c r="H35" i="9"/>
  <c r="G35" i="9"/>
  <c r="F35" i="9"/>
  <c r="D35" i="9"/>
  <c r="C35" i="9"/>
  <c r="B35" i="9"/>
  <c r="A35" i="9"/>
  <c r="M35" i="9" s="1"/>
  <c r="L34" i="9"/>
  <c r="K34" i="9"/>
  <c r="J34" i="9"/>
  <c r="I34" i="9"/>
  <c r="G34" i="9"/>
  <c r="F34" i="9"/>
  <c r="E34" i="9"/>
  <c r="D34" i="9"/>
  <c r="A34" i="9"/>
  <c r="O34" i="9" s="1"/>
  <c r="O33" i="9"/>
  <c r="N33" i="9"/>
  <c r="L33" i="9"/>
  <c r="J33" i="9"/>
  <c r="I33" i="9"/>
  <c r="H33" i="9"/>
  <c r="C33" i="9"/>
  <c r="B33" i="9"/>
  <c r="A33" i="9"/>
  <c r="G33" i="9" s="1"/>
  <c r="L32" i="9"/>
  <c r="A32" i="9"/>
  <c r="K32" i="9" s="1"/>
  <c r="O31" i="9"/>
  <c r="N31" i="9"/>
  <c r="I31" i="9"/>
  <c r="H31" i="9"/>
  <c r="G31" i="9"/>
  <c r="F31" i="9"/>
  <c r="D31" i="9"/>
  <c r="C31" i="9"/>
  <c r="B31" i="9"/>
  <c r="A31" i="9"/>
  <c r="M31" i="9" s="1"/>
  <c r="L30" i="9"/>
  <c r="K30" i="9"/>
  <c r="J30" i="9"/>
  <c r="I30" i="9"/>
  <c r="G30" i="9"/>
  <c r="F30" i="9"/>
  <c r="E30" i="9"/>
  <c r="D30" i="9"/>
  <c r="A30" i="9"/>
  <c r="O30" i="9" s="1"/>
  <c r="O29" i="9"/>
  <c r="N29" i="9"/>
  <c r="L29" i="9"/>
  <c r="J29" i="9"/>
  <c r="I29" i="9"/>
  <c r="H29" i="9"/>
  <c r="C29" i="9"/>
  <c r="B29" i="9"/>
  <c r="A29" i="9"/>
  <c r="G29" i="9" s="1"/>
  <c r="L28" i="9"/>
  <c r="A28" i="9"/>
  <c r="K28" i="9" s="1"/>
  <c r="O27" i="9"/>
  <c r="N27" i="9"/>
  <c r="I27" i="9"/>
  <c r="H27" i="9"/>
  <c r="G27" i="9"/>
  <c r="F27" i="9"/>
  <c r="D27" i="9"/>
  <c r="C27" i="9"/>
  <c r="B27" i="9"/>
  <c r="A27" i="9"/>
  <c r="M27" i="9" s="1"/>
  <c r="L26" i="9"/>
  <c r="K26" i="9"/>
  <c r="J26" i="9"/>
  <c r="I26" i="9"/>
  <c r="G26" i="9"/>
  <c r="F26" i="9"/>
  <c r="E26" i="9"/>
  <c r="D26" i="9"/>
  <c r="A26" i="9"/>
  <c r="O26" i="9" s="1"/>
  <c r="O25" i="9"/>
  <c r="N25" i="9"/>
  <c r="L25" i="9"/>
  <c r="J25" i="9"/>
  <c r="I25" i="9"/>
  <c r="H25" i="9"/>
  <c r="C25" i="9"/>
  <c r="B25" i="9"/>
  <c r="A25" i="9"/>
  <c r="G25" i="9" s="1"/>
  <c r="L24" i="9"/>
  <c r="A24" i="9"/>
  <c r="K24" i="9" s="1"/>
  <c r="O23" i="9"/>
  <c r="N23" i="9"/>
  <c r="I23" i="9"/>
  <c r="H23" i="9"/>
  <c r="G23" i="9"/>
  <c r="F23" i="9"/>
  <c r="D23" i="9"/>
  <c r="C23" i="9"/>
  <c r="B23" i="9"/>
  <c r="A23" i="9"/>
  <c r="M23" i="9" s="1"/>
  <c r="L22" i="9"/>
  <c r="K22" i="9"/>
  <c r="J22" i="9"/>
  <c r="I22" i="9"/>
  <c r="G22" i="9"/>
  <c r="F22" i="9"/>
  <c r="E22" i="9"/>
  <c r="D22" i="9"/>
  <c r="A22" i="9"/>
  <c r="O22" i="9" s="1"/>
  <c r="O21" i="9"/>
  <c r="N21" i="9"/>
  <c r="L21" i="9"/>
  <c r="J21" i="9"/>
  <c r="I21" i="9"/>
  <c r="H21" i="9"/>
  <c r="C21" i="9"/>
  <c r="B21" i="9"/>
  <c r="A21" i="9"/>
  <c r="G21" i="9" s="1"/>
  <c r="L20" i="9"/>
  <c r="A20" i="9"/>
  <c r="K20" i="9" s="1"/>
  <c r="O19" i="9"/>
  <c r="N19" i="9"/>
  <c r="I19" i="9"/>
  <c r="H19" i="9"/>
  <c r="G19" i="9"/>
  <c r="F19" i="9"/>
  <c r="D19" i="9"/>
  <c r="C19" i="9"/>
  <c r="B19" i="9"/>
  <c r="A19" i="9"/>
  <c r="M19" i="9" s="1"/>
  <c r="L18" i="9"/>
  <c r="K18" i="9"/>
  <c r="J18" i="9"/>
  <c r="I18" i="9"/>
  <c r="G18" i="9"/>
  <c r="F18" i="9"/>
  <c r="E18" i="9"/>
  <c r="D18" i="9"/>
  <c r="A18" i="9"/>
  <c r="O18" i="9" s="1"/>
  <c r="O17" i="9"/>
  <c r="N17" i="9"/>
  <c r="L17" i="9"/>
  <c r="J17" i="9"/>
  <c r="I17" i="9"/>
  <c r="H17" i="9"/>
  <c r="C17" i="9"/>
  <c r="B17" i="9"/>
  <c r="A17" i="9"/>
  <c r="G17" i="9" s="1"/>
  <c r="L16" i="9"/>
  <c r="A16" i="9"/>
  <c r="K16" i="9" s="1"/>
  <c r="O15" i="9"/>
  <c r="N15" i="9"/>
  <c r="I15" i="9"/>
  <c r="H15" i="9"/>
  <c r="G15" i="9"/>
  <c r="F15" i="9"/>
  <c r="D15" i="9"/>
  <c r="C15" i="9"/>
  <c r="B15" i="9"/>
  <c r="A15" i="9"/>
  <c r="M15" i="9" s="1"/>
  <c r="L14" i="9"/>
  <c r="K14" i="9"/>
  <c r="J14" i="9"/>
  <c r="I14" i="9"/>
  <c r="G14" i="9"/>
  <c r="F14" i="9"/>
  <c r="E14" i="9"/>
  <c r="D14" i="9"/>
  <c r="A14" i="9"/>
  <c r="O14" i="9" s="1"/>
  <c r="O13" i="9"/>
  <c r="N13" i="9"/>
  <c r="L13" i="9"/>
  <c r="J13" i="9"/>
  <c r="I13" i="9"/>
  <c r="H13" i="9"/>
  <c r="C13" i="9"/>
  <c r="B13" i="9"/>
  <c r="A13" i="9"/>
  <c r="G13" i="9" s="1"/>
  <c r="L12" i="9"/>
  <c r="A12" i="9"/>
  <c r="K12" i="9" s="1"/>
  <c r="O11" i="9"/>
  <c r="N11" i="9"/>
  <c r="I11" i="9"/>
  <c r="H11" i="9"/>
  <c r="G11" i="9"/>
  <c r="F11" i="9"/>
  <c r="D11" i="9"/>
  <c r="C11" i="9"/>
  <c r="B11" i="9"/>
  <c r="A11" i="9"/>
  <c r="M11" i="9" s="1"/>
  <c r="L10" i="9"/>
  <c r="K10" i="9"/>
  <c r="J10" i="9"/>
  <c r="I10" i="9"/>
  <c r="G10" i="9"/>
  <c r="F10" i="9"/>
  <c r="E10" i="9"/>
  <c r="D10" i="9"/>
  <c r="A10" i="9"/>
  <c r="O10" i="9" s="1"/>
  <c r="O9" i="9"/>
  <c r="N9" i="9"/>
  <c r="L9" i="9"/>
  <c r="J9" i="9"/>
  <c r="I9" i="9"/>
  <c r="H9" i="9"/>
  <c r="C9" i="9"/>
  <c r="B9" i="9"/>
  <c r="A9" i="9"/>
  <c r="G9" i="9" s="1"/>
  <c r="L8" i="9"/>
  <c r="A8" i="9"/>
  <c r="K8" i="9" s="1"/>
  <c r="O7" i="9"/>
  <c r="N7" i="9"/>
  <c r="I7" i="9"/>
  <c r="H7" i="9"/>
  <c r="G7" i="9"/>
  <c r="F7" i="9"/>
  <c r="D7" i="9"/>
  <c r="C7" i="9"/>
  <c r="B7" i="9"/>
  <c r="A7" i="9"/>
  <c r="M7" i="9" s="1"/>
  <c r="L6" i="9"/>
  <c r="K6" i="9"/>
  <c r="J6" i="9"/>
  <c r="I6" i="9"/>
  <c r="G6" i="9"/>
  <c r="F6" i="9"/>
  <c r="E6" i="9"/>
  <c r="D6" i="9"/>
  <c r="A6" i="9"/>
  <c r="O6" i="9" s="1"/>
  <c r="O5" i="9"/>
  <c r="N5" i="9"/>
  <c r="L5" i="9"/>
  <c r="J5" i="9"/>
  <c r="I5" i="9"/>
  <c r="H5" i="9"/>
  <c r="C5" i="9"/>
  <c r="B5" i="9"/>
  <c r="A5" i="9"/>
  <c r="G5" i="9" s="1"/>
  <c r="L4" i="9"/>
  <c r="A4" i="9"/>
  <c r="K4" i="9" s="1"/>
  <c r="O3" i="9"/>
  <c r="N3" i="9"/>
  <c r="I3" i="9"/>
  <c r="H3" i="9"/>
  <c r="G3" i="9"/>
  <c r="F3" i="9"/>
  <c r="D3" i="9"/>
  <c r="C3" i="9"/>
  <c r="B3" i="9"/>
  <c r="A3" i="9"/>
  <c r="M3" i="9" s="1"/>
  <c r="L2" i="9"/>
  <c r="K2" i="9"/>
  <c r="J2" i="9"/>
  <c r="I2" i="9"/>
  <c r="G2" i="9"/>
  <c r="F2" i="9"/>
  <c r="E2" i="9"/>
  <c r="D2" i="9"/>
  <c r="A2" i="9"/>
  <c r="O2" i="9" s="1"/>
  <c r="E300" i="8"/>
  <c r="C300" i="8"/>
  <c r="E299" i="8"/>
  <c r="C299" i="8"/>
  <c r="E298" i="8"/>
  <c r="C298" i="8"/>
  <c r="E297" i="8"/>
  <c r="C297" i="8"/>
  <c r="E296" i="8"/>
  <c r="C296" i="8"/>
  <c r="E295" i="8"/>
  <c r="C295" i="8"/>
  <c r="E294" i="8"/>
  <c r="C294" i="8"/>
  <c r="E293" i="8"/>
  <c r="C293" i="8"/>
  <c r="E292" i="8"/>
  <c r="C292" i="8"/>
  <c r="E291" i="8"/>
  <c r="C291" i="8"/>
  <c r="E290" i="8"/>
  <c r="C290" i="8"/>
  <c r="E289" i="8"/>
  <c r="C289" i="8"/>
  <c r="E288" i="8"/>
  <c r="C288" i="8"/>
  <c r="E287" i="8"/>
  <c r="C287" i="8"/>
  <c r="E286" i="8"/>
  <c r="C286" i="8"/>
  <c r="E285" i="8"/>
  <c r="C285" i="8"/>
  <c r="E284" i="8"/>
  <c r="C284" i="8"/>
  <c r="E283" i="8"/>
  <c r="C283" i="8"/>
  <c r="E282" i="8"/>
  <c r="C282" i="8"/>
  <c r="E281" i="8"/>
  <c r="C281" i="8"/>
  <c r="E280" i="8"/>
  <c r="C280" i="8"/>
  <c r="E279" i="8"/>
  <c r="C279" i="8"/>
  <c r="E278" i="8"/>
  <c r="C278" i="8"/>
  <c r="E277" i="8"/>
  <c r="C277" i="8"/>
  <c r="E276" i="8"/>
  <c r="C276" i="8"/>
  <c r="E275" i="8"/>
  <c r="C275" i="8"/>
  <c r="E274" i="8"/>
  <c r="C274" i="8"/>
  <c r="E273" i="8"/>
  <c r="C273" i="8"/>
  <c r="E272" i="8"/>
  <c r="C272" i="8"/>
  <c r="E271" i="8"/>
  <c r="C271" i="8"/>
  <c r="E270" i="8"/>
  <c r="C270" i="8"/>
  <c r="E269" i="8"/>
  <c r="C269" i="8"/>
  <c r="E268" i="8"/>
  <c r="C268" i="8"/>
  <c r="E267" i="8"/>
  <c r="C267" i="8"/>
  <c r="E266" i="8"/>
  <c r="C266" i="8"/>
  <c r="E265" i="8"/>
  <c r="C265" i="8"/>
  <c r="E264" i="8"/>
  <c r="C264" i="8"/>
  <c r="E263" i="8"/>
  <c r="C263" i="8"/>
  <c r="E262" i="8"/>
  <c r="C262" i="8"/>
  <c r="E261" i="8"/>
  <c r="C261" i="8"/>
  <c r="E260" i="8"/>
  <c r="C260" i="8"/>
  <c r="E259" i="8"/>
  <c r="C259" i="8"/>
  <c r="E258" i="8"/>
  <c r="C258" i="8"/>
  <c r="E257" i="8"/>
  <c r="C257" i="8"/>
  <c r="E256" i="8"/>
  <c r="C256" i="8"/>
  <c r="E255" i="8"/>
  <c r="C255" i="8"/>
  <c r="E254" i="8"/>
  <c r="C254" i="8"/>
  <c r="E253" i="8"/>
  <c r="C253" i="8"/>
  <c r="E252" i="8"/>
  <c r="C252" i="8"/>
  <c r="E251" i="8"/>
  <c r="C251" i="8"/>
  <c r="E250" i="8"/>
  <c r="C250" i="8"/>
  <c r="E249" i="8"/>
  <c r="C249" i="8"/>
  <c r="E248" i="8"/>
  <c r="C248" i="8"/>
  <c r="E247" i="8"/>
  <c r="C247" i="8"/>
  <c r="E246" i="8"/>
  <c r="C246" i="8"/>
  <c r="E245" i="8"/>
  <c r="C245" i="8"/>
  <c r="E244" i="8"/>
  <c r="C244" i="8"/>
  <c r="E243" i="8"/>
  <c r="C243" i="8"/>
  <c r="E242" i="8"/>
  <c r="C242" i="8"/>
  <c r="E241" i="8"/>
  <c r="C241" i="8"/>
  <c r="E240" i="8"/>
  <c r="C240" i="8"/>
  <c r="E239" i="8"/>
  <c r="C239" i="8"/>
  <c r="E238" i="8"/>
  <c r="C238" i="8"/>
  <c r="E237" i="8"/>
  <c r="C237" i="8"/>
  <c r="E236" i="8"/>
  <c r="C236" i="8"/>
  <c r="E235" i="8"/>
  <c r="C235" i="8"/>
  <c r="E234" i="8"/>
  <c r="C234" i="8"/>
  <c r="E233" i="8"/>
  <c r="C233" i="8"/>
  <c r="E232" i="8"/>
  <c r="C232" i="8"/>
  <c r="E231" i="8"/>
  <c r="C231" i="8"/>
  <c r="E230" i="8"/>
  <c r="C230" i="8"/>
  <c r="E229" i="8"/>
  <c r="C229" i="8"/>
  <c r="E228" i="8"/>
  <c r="C228" i="8"/>
  <c r="E227" i="8"/>
  <c r="C227" i="8"/>
  <c r="E226" i="8"/>
  <c r="C226" i="8"/>
  <c r="E225" i="8"/>
  <c r="C225" i="8"/>
  <c r="E224" i="8"/>
  <c r="C224" i="8"/>
  <c r="E223" i="8"/>
  <c r="C223" i="8"/>
  <c r="E222" i="8"/>
  <c r="C222" i="8"/>
  <c r="E221" i="8"/>
  <c r="C221" i="8"/>
  <c r="E220" i="8"/>
  <c r="C220" i="8"/>
  <c r="E219" i="8"/>
  <c r="C219" i="8"/>
  <c r="E218" i="8"/>
  <c r="C218" i="8"/>
  <c r="E217" i="8"/>
  <c r="C217" i="8"/>
  <c r="E216" i="8"/>
  <c r="C216" i="8"/>
  <c r="E215" i="8"/>
  <c r="C215" i="8"/>
  <c r="E214" i="8"/>
  <c r="C214" i="8"/>
  <c r="E213" i="8"/>
  <c r="C213" i="8"/>
  <c r="E212" i="8"/>
  <c r="C212" i="8"/>
  <c r="E211" i="8"/>
  <c r="C211" i="8"/>
  <c r="E210" i="8"/>
  <c r="C210" i="8"/>
  <c r="E209" i="8"/>
  <c r="C209" i="8"/>
  <c r="E208" i="8"/>
  <c r="C208" i="8"/>
  <c r="E207" i="8"/>
  <c r="C207" i="8"/>
  <c r="E206" i="8"/>
  <c r="C206" i="8"/>
  <c r="E205" i="8"/>
  <c r="C205" i="8"/>
  <c r="E204" i="8"/>
  <c r="C204" i="8"/>
  <c r="E203" i="8"/>
  <c r="C203" i="8"/>
  <c r="E202" i="8"/>
  <c r="C202" i="8"/>
  <c r="E201" i="8"/>
  <c r="C201" i="8"/>
  <c r="E200" i="8"/>
  <c r="C200" i="8"/>
  <c r="E199" i="8"/>
  <c r="C199" i="8"/>
  <c r="E198" i="8"/>
  <c r="C198" i="8"/>
  <c r="E197" i="8"/>
  <c r="C197" i="8"/>
  <c r="E196" i="8"/>
  <c r="C196" i="8"/>
  <c r="E195" i="8"/>
  <c r="C195" i="8"/>
  <c r="E194" i="8"/>
  <c r="C194" i="8"/>
  <c r="E193" i="8"/>
  <c r="C193" i="8"/>
  <c r="E192" i="8"/>
  <c r="C192" i="8"/>
  <c r="E191" i="8"/>
  <c r="C191" i="8"/>
  <c r="E190" i="8"/>
  <c r="C190" i="8"/>
  <c r="E189" i="8"/>
  <c r="C189" i="8"/>
  <c r="E188" i="8"/>
  <c r="C188" i="8"/>
  <c r="E187" i="8"/>
  <c r="C187" i="8"/>
  <c r="E186" i="8"/>
  <c r="C186" i="8"/>
  <c r="E185" i="8"/>
  <c r="C185" i="8"/>
  <c r="E184" i="8"/>
  <c r="C184" i="8"/>
  <c r="E183" i="8"/>
  <c r="C183" i="8"/>
  <c r="E182" i="8"/>
  <c r="C182" i="8"/>
  <c r="E181" i="8"/>
  <c r="C181" i="8"/>
  <c r="E180" i="8"/>
  <c r="C180" i="8"/>
  <c r="E179" i="8"/>
  <c r="C179" i="8"/>
  <c r="E178" i="8"/>
  <c r="C178" i="8"/>
  <c r="E177" i="8"/>
  <c r="C177" i="8"/>
  <c r="E176" i="8"/>
  <c r="C176" i="8"/>
  <c r="E175" i="8"/>
  <c r="C175" i="8"/>
  <c r="E174" i="8"/>
  <c r="C174" i="8"/>
  <c r="E173" i="8"/>
  <c r="C173" i="8"/>
  <c r="E172" i="8"/>
  <c r="C172" i="8"/>
  <c r="E171" i="8"/>
  <c r="C171" i="8"/>
  <c r="E170" i="8"/>
  <c r="C170" i="8"/>
  <c r="E169" i="8"/>
  <c r="C169" i="8"/>
  <c r="E168" i="8"/>
  <c r="C168" i="8"/>
  <c r="E167" i="8"/>
  <c r="C167" i="8"/>
  <c r="E166" i="8"/>
  <c r="C166" i="8"/>
  <c r="E165" i="8"/>
  <c r="C165" i="8"/>
  <c r="E164" i="8"/>
  <c r="C164" i="8"/>
  <c r="E163" i="8"/>
  <c r="C163" i="8"/>
  <c r="E162" i="8"/>
  <c r="C162" i="8"/>
  <c r="E161" i="8"/>
  <c r="C161" i="8"/>
  <c r="E160" i="8"/>
  <c r="C160" i="8"/>
  <c r="E159" i="8"/>
  <c r="C159" i="8"/>
  <c r="E158" i="8"/>
  <c r="C158" i="8"/>
  <c r="E157" i="8"/>
  <c r="C157" i="8"/>
  <c r="E156" i="8"/>
  <c r="C156" i="8"/>
  <c r="E155" i="8"/>
  <c r="C155" i="8"/>
  <c r="E154" i="8"/>
  <c r="C154" i="8"/>
  <c r="E153" i="8"/>
  <c r="C153" i="8"/>
  <c r="E152" i="8"/>
  <c r="C152" i="8"/>
  <c r="E151" i="8"/>
  <c r="C151" i="8"/>
  <c r="E150" i="8"/>
  <c r="C150" i="8"/>
  <c r="E149" i="8"/>
  <c r="C149" i="8"/>
  <c r="E148" i="8"/>
  <c r="C148" i="8"/>
  <c r="E147" i="8"/>
  <c r="C147" i="8"/>
  <c r="E146" i="8"/>
  <c r="C146" i="8"/>
  <c r="E145" i="8"/>
  <c r="C145" i="8"/>
  <c r="E144" i="8"/>
  <c r="C144" i="8"/>
  <c r="E143" i="8"/>
  <c r="C143" i="8"/>
  <c r="E142" i="8"/>
  <c r="C142" i="8"/>
  <c r="E141" i="8"/>
  <c r="C141" i="8"/>
  <c r="E140" i="8"/>
  <c r="C140" i="8"/>
  <c r="E139" i="8"/>
  <c r="C139" i="8"/>
  <c r="E138" i="8"/>
  <c r="C138" i="8"/>
  <c r="E137" i="8"/>
  <c r="C137" i="8"/>
  <c r="E136" i="8"/>
  <c r="C136" i="8"/>
  <c r="E135" i="8"/>
  <c r="C135" i="8"/>
  <c r="E134" i="8"/>
  <c r="C134" i="8"/>
  <c r="E133" i="8"/>
  <c r="C133" i="8"/>
  <c r="E132" i="8"/>
  <c r="C132" i="8"/>
  <c r="E131" i="8"/>
  <c r="C131" i="8"/>
  <c r="E130" i="8"/>
  <c r="C130" i="8"/>
  <c r="E129" i="8"/>
  <c r="C129" i="8"/>
  <c r="E128" i="8"/>
  <c r="C128" i="8"/>
  <c r="E127" i="8"/>
  <c r="C127" i="8"/>
  <c r="E126" i="8"/>
  <c r="C126" i="8"/>
  <c r="E125" i="8"/>
  <c r="C125" i="8"/>
  <c r="E124" i="8"/>
  <c r="C124" i="8"/>
  <c r="E123" i="8"/>
  <c r="C123" i="8"/>
  <c r="E122" i="8"/>
  <c r="C122" i="8"/>
  <c r="E121" i="8"/>
  <c r="C121" i="8"/>
  <c r="E120" i="8"/>
  <c r="C120" i="8"/>
  <c r="E119" i="8"/>
  <c r="C119" i="8"/>
  <c r="E118" i="8"/>
  <c r="C118" i="8"/>
  <c r="E117" i="8"/>
  <c r="C117" i="8"/>
  <c r="E116" i="8"/>
  <c r="C116" i="8"/>
  <c r="E115" i="8"/>
  <c r="C115" i="8"/>
  <c r="E114" i="8"/>
  <c r="C114" i="8"/>
  <c r="E113" i="8"/>
  <c r="C113" i="8"/>
  <c r="E112" i="8"/>
  <c r="C112" i="8"/>
  <c r="E111" i="8"/>
  <c r="C111" i="8"/>
  <c r="E110" i="8"/>
  <c r="C110" i="8"/>
  <c r="E109" i="8"/>
  <c r="C109" i="8"/>
  <c r="E108" i="8"/>
  <c r="C108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6" i="8"/>
  <c r="C96" i="8"/>
  <c r="E95" i="8"/>
  <c r="C95" i="8"/>
  <c r="E94" i="8"/>
  <c r="C94" i="8"/>
  <c r="E93" i="8"/>
  <c r="C93" i="8"/>
  <c r="E92" i="8"/>
  <c r="C92" i="8"/>
  <c r="E91" i="8"/>
  <c r="C91" i="8"/>
  <c r="E90" i="8"/>
  <c r="C90" i="8"/>
  <c r="E89" i="8"/>
  <c r="C89" i="8"/>
  <c r="E88" i="8"/>
  <c r="C88" i="8"/>
  <c r="E87" i="8"/>
  <c r="C87" i="8"/>
  <c r="E86" i="8"/>
  <c r="C86" i="8"/>
  <c r="E85" i="8"/>
  <c r="C85" i="8"/>
  <c r="E84" i="8"/>
  <c r="C84" i="8"/>
  <c r="E83" i="8"/>
  <c r="C83" i="8"/>
  <c r="E82" i="8"/>
  <c r="C82" i="8"/>
  <c r="E81" i="8"/>
  <c r="C81" i="8"/>
  <c r="E80" i="8"/>
  <c r="C80" i="8"/>
  <c r="E79" i="8"/>
  <c r="C79" i="8"/>
  <c r="E78" i="8"/>
  <c r="C78" i="8"/>
  <c r="E77" i="8"/>
  <c r="C77" i="8"/>
  <c r="E76" i="8"/>
  <c r="C76" i="8"/>
  <c r="E75" i="8"/>
  <c r="C75" i="8"/>
  <c r="E74" i="8"/>
  <c r="C74" i="8"/>
  <c r="E73" i="8"/>
  <c r="C73" i="8"/>
  <c r="E72" i="8"/>
  <c r="C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F300" i="7"/>
  <c r="D300" i="7"/>
  <c r="B300" i="7"/>
  <c r="F299" i="7"/>
  <c r="D299" i="7"/>
  <c r="B299" i="7"/>
  <c r="F298" i="7"/>
  <c r="D298" i="7"/>
  <c r="B298" i="7"/>
  <c r="F297" i="7"/>
  <c r="D297" i="7"/>
  <c r="B297" i="7"/>
  <c r="F296" i="7"/>
  <c r="D296" i="7"/>
  <c r="B296" i="7"/>
  <c r="F295" i="7"/>
  <c r="D295" i="7"/>
  <c r="B295" i="7"/>
  <c r="F294" i="7"/>
  <c r="D294" i="7"/>
  <c r="B294" i="7"/>
  <c r="F293" i="7"/>
  <c r="D293" i="7"/>
  <c r="B293" i="7"/>
  <c r="F292" i="7"/>
  <c r="D292" i="7"/>
  <c r="B292" i="7"/>
  <c r="F291" i="7"/>
  <c r="D291" i="7"/>
  <c r="B291" i="7"/>
  <c r="F290" i="7"/>
  <c r="D290" i="7"/>
  <c r="B290" i="7"/>
  <c r="F289" i="7"/>
  <c r="D289" i="7"/>
  <c r="B289" i="7"/>
  <c r="F288" i="7"/>
  <c r="D288" i="7"/>
  <c r="B288" i="7"/>
  <c r="F287" i="7"/>
  <c r="D287" i="7"/>
  <c r="B287" i="7"/>
  <c r="F286" i="7"/>
  <c r="D286" i="7"/>
  <c r="B286" i="7"/>
  <c r="F285" i="7"/>
  <c r="D285" i="7"/>
  <c r="B285" i="7"/>
  <c r="F284" i="7"/>
  <c r="D284" i="7"/>
  <c r="B284" i="7"/>
  <c r="F283" i="7"/>
  <c r="D283" i="7"/>
  <c r="B283" i="7"/>
  <c r="F282" i="7"/>
  <c r="D282" i="7"/>
  <c r="B282" i="7"/>
  <c r="F281" i="7"/>
  <c r="D281" i="7"/>
  <c r="B281" i="7"/>
  <c r="F280" i="7"/>
  <c r="D280" i="7"/>
  <c r="B280" i="7"/>
  <c r="F279" i="7"/>
  <c r="D279" i="7"/>
  <c r="B279" i="7"/>
  <c r="F278" i="7"/>
  <c r="D278" i="7"/>
  <c r="B278" i="7"/>
  <c r="F277" i="7"/>
  <c r="D277" i="7"/>
  <c r="B277" i="7"/>
  <c r="F276" i="7"/>
  <c r="D276" i="7"/>
  <c r="B276" i="7"/>
  <c r="F275" i="7"/>
  <c r="D275" i="7"/>
  <c r="B275" i="7"/>
  <c r="F274" i="7"/>
  <c r="D274" i="7"/>
  <c r="B274" i="7"/>
  <c r="F273" i="7"/>
  <c r="D273" i="7"/>
  <c r="B273" i="7"/>
  <c r="F272" i="7"/>
  <c r="D272" i="7"/>
  <c r="B272" i="7"/>
  <c r="F271" i="7"/>
  <c r="D271" i="7"/>
  <c r="B271" i="7"/>
  <c r="F270" i="7"/>
  <c r="D270" i="7"/>
  <c r="B270" i="7"/>
  <c r="F269" i="7"/>
  <c r="D269" i="7"/>
  <c r="B269" i="7"/>
  <c r="F268" i="7"/>
  <c r="D268" i="7"/>
  <c r="B268" i="7"/>
  <c r="F267" i="7"/>
  <c r="D267" i="7"/>
  <c r="B267" i="7"/>
  <c r="F266" i="7"/>
  <c r="D266" i="7"/>
  <c r="B266" i="7"/>
  <c r="F265" i="7"/>
  <c r="D265" i="7"/>
  <c r="B265" i="7"/>
  <c r="F264" i="7"/>
  <c r="D264" i="7"/>
  <c r="B264" i="7"/>
  <c r="F263" i="7"/>
  <c r="D263" i="7"/>
  <c r="B263" i="7"/>
  <c r="F262" i="7"/>
  <c r="D262" i="7"/>
  <c r="B262" i="7"/>
  <c r="F261" i="7"/>
  <c r="D261" i="7"/>
  <c r="B261" i="7"/>
  <c r="F260" i="7"/>
  <c r="D260" i="7"/>
  <c r="B260" i="7"/>
  <c r="F259" i="7"/>
  <c r="D259" i="7"/>
  <c r="B259" i="7"/>
  <c r="F258" i="7"/>
  <c r="D258" i="7"/>
  <c r="B258" i="7"/>
  <c r="F257" i="7"/>
  <c r="D257" i="7"/>
  <c r="B257" i="7"/>
  <c r="F256" i="7"/>
  <c r="D256" i="7"/>
  <c r="B256" i="7"/>
  <c r="F255" i="7"/>
  <c r="D255" i="7"/>
  <c r="B255" i="7"/>
  <c r="F254" i="7"/>
  <c r="D254" i="7"/>
  <c r="B254" i="7"/>
  <c r="F253" i="7"/>
  <c r="D253" i="7"/>
  <c r="B253" i="7"/>
  <c r="F252" i="7"/>
  <c r="D252" i="7"/>
  <c r="B252" i="7"/>
  <c r="F251" i="7"/>
  <c r="D251" i="7"/>
  <c r="B251" i="7"/>
  <c r="F250" i="7"/>
  <c r="D250" i="7"/>
  <c r="B250" i="7"/>
  <c r="F249" i="7"/>
  <c r="D249" i="7"/>
  <c r="B249" i="7"/>
  <c r="F248" i="7"/>
  <c r="D248" i="7"/>
  <c r="B248" i="7"/>
  <c r="F247" i="7"/>
  <c r="D247" i="7"/>
  <c r="B247" i="7"/>
  <c r="F246" i="7"/>
  <c r="D246" i="7"/>
  <c r="B246" i="7"/>
  <c r="F245" i="7"/>
  <c r="D245" i="7"/>
  <c r="B245" i="7"/>
  <c r="F244" i="7"/>
  <c r="D244" i="7"/>
  <c r="B244" i="7"/>
  <c r="F243" i="7"/>
  <c r="D243" i="7"/>
  <c r="B243" i="7"/>
  <c r="F242" i="7"/>
  <c r="D242" i="7"/>
  <c r="B242" i="7"/>
  <c r="F241" i="7"/>
  <c r="D241" i="7"/>
  <c r="B241" i="7"/>
  <c r="F240" i="7"/>
  <c r="D240" i="7"/>
  <c r="B240" i="7"/>
  <c r="F239" i="7"/>
  <c r="D239" i="7"/>
  <c r="B239" i="7"/>
  <c r="F238" i="7"/>
  <c r="D238" i="7"/>
  <c r="B238" i="7"/>
  <c r="F237" i="7"/>
  <c r="D237" i="7"/>
  <c r="B237" i="7"/>
  <c r="F236" i="7"/>
  <c r="D236" i="7"/>
  <c r="B236" i="7"/>
  <c r="F235" i="7"/>
  <c r="D235" i="7"/>
  <c r="B235" i="7"/>
  <c r="F234" i="7"/>
  <c r="D234" i="7"/>
  <c r="B234" i="7"/>
  <c r="F233" i="7"/>
  <c r="D233" i="7"/>
  <c r="B233" i="7"/>
  <c r="F232" i="7"/>
  <c r="D232" i="7"/>
  <c r="B232" i="7"/>
  <c r="F231" i="7"/>
  <c r="D231" i="7"/>
  <c r="B231" i="7"/>
  <c r="F230" i="7"/>
  <c r="D230" i="7"/>
  <c r="B230" i="7"/>
  <c r="F229" i="7"/>
  <c r="D229" i="7"/>
  <c r="B229" i="7"/>
  <c r="F228" i="7"/>
  <c r="D228" i="7"/>
  <c r="B228" i="7"/>
  <c r="F227" i="7"/>
  <c r="D227" i="7"/>
  <c r="B227" i="7"/>
  <c r="F226" i="7"/>
  <c r="D226" i="7"/>
  <c r="B226" i="7"/>
  <c r="F225" i="7"/>
  <c r="D225" i="7"/>
  <c r="B225" i="7"/>
  <c r="F224" i="7"/>
  <c r="D224" i="7"/>
  <c r="B224" i="7"/>
  <c r="F223" i="7"/>
  <c r="D223" i="7"/>
  <c r="B223" i="7"/>
  <c r="F222" i="7"/>
  <c r="D222" i="7"/>
  <c r="B222" i="7"/>
  <c r="F221" i="7"/>
  <c r="D221" i="7"/>
  <c r="B221" i="7"/>
  <c r="F220" i="7"/>
  <c r="D220" i="7"/>
  <c r="B220" i="7"/>
  <c r="F219" i="7"/>
  <c r="D219" i="7"/>
  <c r="B219" i="7"/>
  <c r="F218" i="7"/>
  <c r="D218" i="7"/>
  <c r="B218" i="7"/>
  <c r="F217" i="7"/>
  <c r="D217" i="7"/>
  <c r="B217" i="7"/>
  <c r="F216" i="7"/>
  <c r="D216" i="7"/>
  <c r="B216" i="7"/>
  <c r="F215" i="7"/>
  <c r="D215" i="7"/>
  <c r="B215" i="7"/>
  <c r="F214" i="7"/>
  <c r="D214" i="7"/>
  <c r="B214" i="7"/>
  <c r="F213" i="7"/>
  <c r="D213" i="7"/>
  <c r="B213" i="7"/>
  <c r="F212" i="7"/>
  <c r="D212" i="7"/>
  <c r="B212" i="7"/>
  <c r="F211" i="7"/>
  <c r="D211" i="7"/>
  <c r="B211" i="7"/>
  <c r="F210" i="7"/>
  <c r="D210" i="7"/>
  <c r="B210" i="7"/>
  <c r="F209" i="7"/>
  <c r="D209" i="7"/>
  <c r="B209" i="7"/>
  <c r="F208" i="7"/>
  <c r="D208" i="7"/>
  <c r="B208" i="7"/>
  <c r="F207" i="7"/>
  <c r="D207" i="7"/>
  <c r="B207" i="7"/>
  <c r="F206" i="7"/>
  <c r="D206" i="7"/>
  <c r="B206" i="7"/>
  <c r="F205" i="7"/>
  <c r="D205" i="7"/>
  <c r="B205" i="7"/>
  <c r="F204" i="7"/>
  <c r="D204" i="7"/>
  <c r="B204" i="7"/>
  <c r="F203" i="7"/>
  <c r="D203" i="7"/>
  <c r="B203" i="7"/>
  <c r="F202" i="7"/>
  <c r="D202" i="7"/>
  <c r="B202" i="7"/>
  <c r="F201" i="7"/>
  <c r="D201" i="7"/>
  <c r="B201" i="7"/>
  <c r="F200" i="7"/>
  <c r="D200" i="7"/>
  <c r="B200" i="7"/>
  <c r="F199" i="7"/>
  <c r="D199" i="7"/>
  <c r="B199" i="7"/>
  <c r="F198" i="7"/>
  <c r="D198" i="7"/>
  <c r="B198" i="7"/>
  <c r="F197" i="7"/>
  <c r="D197" i="7"/>
  <c r="B197" i="7"/>
  <c r="F196" i="7"/>
  <c r="D196" i="7"/>
  <c r="B196" i="7"/>
  <c r="F195" i="7"/>
  <c r="D195" i="7"/>
  <c r="B195" i="7"/>
  <c r="F194" i="7"/>
  <c r="D194" i="7"/>
  <c r="B194" i="7"/>
  <c r="F193" i="7"/>
  <c r="D193" i="7"/>
  <c r="B193" i="7"/>
  <c r="F192" i="7"/>
  <c r="D192" i="7"/>
  <c r="B192" i="7"/>
  <c r="F191" i="7"/>
  <c r="D191" i="7"/>
  <c r="B191" i="7"/>
  <c r="F190" i="7"/>
  <c r="D190" i="7"/>
  <c r="B190" i="7"/>
  <c r="F189" i="7"/>
  <c r="D189" i="7"/>
  <c r="B189" i="7"/>
  <c r="F188" i="7"/>
  <c r="D188" i="7"/>
  <c r="B188" i="7"/>
  <c r="F187" i="7"/>
  <c r="D187" i="7"/>
  <c r="B187" i="7"/>
  <c r="F186" i="7"/>
  <c r="D186" i="7"/>
  <c r="B186" i="7"/>
  <c r="F185" i="7"/>
  <c r="D185" i="7"/>
  <c r="B185" i="7"/>
  <c r="F184" i="7"/>
  <c r="D184" i="7"/>
  <c r="B184" i="7"/>
  <c r="F183" i="7"/>
  <c r="D183" i="7"/>
  <c r="B183" i="7"/>
  <c r="F182" i="7"/>
  <c r="D182" i="7"/>
  <c r="B182" i="7"/>
  <c r="F181" i="7"/>
  <c r="D181" i="7"/>
  <c r="B181" i="7"/>
  <c r="F180" i="7"/>
  <c r="D180" i="7"/>
  <c r="B180" i="7"/>
  <c r="F179" i="7"/>
  <c r="D179" i="7"/>
  <c r="B179" i="7"/>
  <c r="F178" i="7"/>
  <c r="D178" i="7"/>
  <c r="B178" i="7"/>
  <c r="F177" i="7"/>
  <c r="D177" i="7"/>
  <c r="B177" i="7"/>
  <c r="F176" i="7"/>
  <c r="D176" i="7"/>
  <c r="B176" i="7"/>
  <c r="F175" i="7"/>
  <c r="D175" i="7"/>
  <c r="B175" i="7"/>
  <c r="F174" i="7"/>
  <c r="D174" i="7"/>
  <c r="B174" i="7"/>
  <c r="F173" i="7"/>
  <c r="D173" i="7"/>
  <c r="B173" i="7"/>
  <c r="F172" i="7"/>
  <c r="D172" i="7"/>
  <c r="B172" i="7"/>
  <c r="F171" i="7"/>
  <c r="D171" i="7"/>
  <c r="B171" i="7"/>
  <c r="F170" i="7"/>
  <c r="D170" i="7"/>
  <c r="B170" i="7"/>
  <c r="F169" i="7"/>
  <c r="D169" i="7"/>
  <c r="B169" i="7"/>
  <c r="F168" i="7"/>
  <c r="D168" i="7"/>
  <c r="B168" i="7"/>
  <c r="F167" i="7"/>
  <c r="D167" i="7"/>
  <c r="B167" i="7"/>
  <c r="F166" i="7"/>
  <c r="D166" i="7"/>
  <c r="B166" i="7"/>
  <c r="F165" i="7"/>
  <c r="D165" i="7"/>
  <c r="B165" i="7"/>
  <c r="F164" i="7"/>
  <c r="D164" i="7"/>
  <c r="B164" i="7"/>
  <c r="F163" i="7"/>
  <c r="D163" i="7"/>
  <c r="B163" i="7"/>
  <c r="F162" i="7"/>
  <c r="D162" i="7"/>
  <c r="B162" i="7"/>
  <c r="F161" i="7"/>
  <c r="D161" i="7"/>
  <c r="B161" i="7"/>
  <c r="F160" i="7"/>
  <c r="D160" i="7"/>
  <c r="B160" i="7"/>
  <c r="F159" i="7"/>
  <c r="D159" i="7"/>
  <c r="B159" i="7"/>
  <c r="F158" i="7"/>
  <c r="D158" i="7"/>
  <c r="B158" i="7"/>
  <c r="F157" i="7"/>
  <c r="D157" i="7"/>
  <c r="B157" i="7"/>
  <c r="F156" i="7"/>
  <c r="D156" i="7"/>
  <c r="B156" i="7"/>
  <c r="F155" i="7"/>
  <c r="D155" i="7"/>
  <c r="B155" i="7"/>
  <c r="F154" i="7"/>
  <c r="D154" i="7"/>
  <c r="B154" i="7"/>
  <c r="F153" i="7"/>
  <c r="D153" i="7"/>
  <c r="B153" i="7"/>
  <c r="F152" i="7"/>
  <c r="D152" i="7"/>
  <c r="B152" i="7"/>
  <c r="F151" i="7"/>
  <c r="D151" i="7"/>
  <c r="B151" i="7"/>
  <c r="F150" i="7"/>
  <c r="D150" i="7"/>
  <c r="B150" i="7"/>
  <c r="F149" i="7"/>
  <c r="D149" i="7"/>
  <c r="B149" i="7"/>
  <c r="F148" i="7"/>
  <c r="D148" i="7"/>
  <c r="B148" i="7"/>
  <c r="F147" i="7"/>
  <c r="D147" i="7"/>
  <c r="B147" i="7"/>
  <c r="F146" i="7"/>
  <c r="D146" i="7"/>
  <c r="B146" i="7"/>
  <c r="F145" i="7"/>
  <c r="D145" i="7"/>
  <c r="B145" i="7"/>
  <c r="F144" i="7"/>
  <c r="D144" i="7"/>
  <c r="B144" i="7"/>
  <c r="F143" i="7"/>
  <c r="D143" i="7"/>
  <c r="B143" i="7"/>
  <c r="F142" i="7"/>
  <c r="D142" i="7"/>
  <c r="B142" i="7"/>
  <c r="F141" i="7"/>
  <c r="D141" i="7"/>
  <c r="B141" i="7"/>
  <c r="F140" i="7"/>
  <c r="D140" i="7"/>
  <c r="B140" i="7"/>
  <c r="F139" i="7"/>
  <c r="D139" i="7"/>
  <c r="B139" i="7"/>
  <c r="F138" i="7"/>
  <c r="D138" i="7"/>
  <c r="B138" i="7"/>
  <c r="F137" i="7"/>
  <c r="D137" i="7"/>
  <c r="B137" i="7"/>
  <c r="F136" i="7"/>
  <c r="D136" i="7"/>
  <c r="B136" i="7"/>
  <c r="F135" i="7"/>
  <c r="D135" i="7"/>
  <c r="B135" i="7"/>
  <c r="F134" i="7"/>
  <c r="D134" i="7"/>
  <c r="B134" i="7"/>
  <c r="F133" i="7"/>
  <c r="D133" i="7"/>
  <c r="B133" i="7"/>
  <c r="F132" i="7"/>
  <c r="D132" i="7"/>
  <c r="B132" i="7"/>
  <c r="F131" i="7"/>
  <c r="D131" i="7"/>
  <c r="B131" i="7"/>
  <c r="F130" i="7"/>
  <c r="D130" i="7"/>
  <c r="B130" i="7"/>
  <c r="F129" i="7"/>
  <c r="D129" i="7"/>
  <c r="B129" i="7"/>
  <c r="F128" i="7"/>
  <c r="D128" i="7"/>
  <c r="B128" i="7"/>
  <c r="F127" i="7"/>
  <c r="D127" i="7"/>
  <c r="B127" i="7"/>
  <c r="F126" i="7"/>
  <c r="D126" i="7"/>
  <c r="B126" i="7"/>
  <c r="F125" i="7"/>
  <c r="D125" i="7"/>
  <c r="B125" i="7"/>
  <c r="F124" i="7"/>
  <c r="D124" i="7"/>
  <c r="B124" i="7"/>
  <c r="F123" i="7"/>
  <c r="D123" i="7"/>
  <c r="B123" i="7"/>
  <c r="F122" i="7"/>
  <c r="D122" i="7"/>
  <c r="B122" i="7"/>
  <c r="F121" i="7"/>
  <c r="D121" i="7"/>
  <c r="B121" i="7"/>
  <c r="F120" i="7"/>
  <c r="D120" i="7"/>
  <c r="B120" i="7"/>
  <c r="F119" i="7"/>
  <c r="D119" i="7"/>
  <c r="B119" i="7"/>
  <c r="F118" i="7"/>
  <c r="D118" i="7"/>
  <c r="B118" i="7"/>
  <c r="F117" i="7"/>
  <c r="D117" i="7"/>
  <c r="B117" i="7"/>
  <c r="F116" i="7"/>
  <c r="D116" i="7"/>
  <c r="B116" i="7"/>
  <c r="F115" i="7"/>
  <c r="D115" i="7"/>
  <c r="B115" i="7"/>
  <c r="F114" i="7"/>
  <c r="D114" i="7"/>
  <c r="B114" i="7"/>
  <c r="F113" i="7"/>
  <c r="D113" i="7"/>
  <c r="B113" i="7"/>
  <c r="F112" i="7"/>
  <c r="D112" i="7"/>
  <c r="B112" i="7"/>
  <c r="F111" i="7"/>
  <c r="D111" i="7"/>
  <c r="B111" i="7"/>
  <c r="F110" i="7"/>
  <c r="D110" i="7"/>
  <c r="B110" i="7"/>
  <c r="F109" i="7"/>
  <c r="D109" i="7"/>
  <c r="B109" i="7"/>
  <c r="F108" i="7"/>
  <c r="D108" i="7"/>
  <c r="B108" i="7"/>
  <c r="F107" i="7"/>
  <c r="D107" i="7"/>
  <c r="B107" i="7"/>
  <c r="F106" i="7"/>
  <c r="D106" i="7"/>
  <c r="B106" i="7"/>
  <c r="F105" i="7"/>
  <c r="D105" i="7"/>
  <c r="B105" i="7"/>
  <c r="F104" i="7"/>
  <c r="D104" i="7"/>
  <c r="B104" i="7"/>
  <c r="F103" i="7"/>
  <c r="D103" i="7"/>
  <c r="B103" i="7"/>
  <c r="F102" i="7"/>
  <c r="D102" i="7"/>
  <c r="B102" i="7"/>
  <c r="F101" i="7"/>
  <c r="D101" i="7"/>
  <c r="B101" i="7"/>
  <c r="F100" i="7"/>
  <c r="D100" i="7"/>
  <c r="B100" i="7"/>
  <c r="F99" i="7"/>
  <c r="D99" i="7"/>
  <c r="B99" i="7"/>
  <c r="F98" i="7"/>
  <c r="D98" i="7"/>
  <c r="B98" i="7"/>
  <c r="F97" i="7"/>
  <c r="D97" i="7"/>
  <c r="B97" i="7"/>
  <c r="F96" i="7"/>
  <c r="D96" i="7"/>
  <c r="B96" i="7"/>
  <c r="F95" i="7"/>
  <c r="D95" i="7"/>
  <c r="B95" i="7"/>
  <c r="F94" i="7"/>
  <c r="D94" i="7"/>
  <c r="B94" i="7"/>
  <c r="F93" i="7"/>
  <c r="D93" i="7"/>
  <c r="B93" i="7"/>
  <c r="F92" i="7"/>
  <c r="D92" i="7"/>
  <c r="B92" i="7"/>
  <c r="F91" i="7"/>
  <c r="D91" i="7"/>
  <c r="B91" i="7"/>
  <c r="F90" i="7"/>
  <c r="D90" i="7"/>
  <c r="B90" i="7"/>
  <c r="F89" i="7"/>
  <c r="D89" i="7"/>
  <c r="B89" i="7"/>
  <c r="F88" i="7"/>
  <c r="D88" i="7"/>
  <c r="B88" i="7"/>
  <c r="F87" i="7"/>
  <c r="D87" i="7"/>
  <c r="B87" i="7"/>
  <c r="F86" i="7"/>
  <c r="D86" i="7"/>
  <c r="B86" i="7"/>
  <c r="F85" i="7"/>
  <c r="D85" i="7"/>
  <c r="B85" i="7"/>
  <c r="F84" i="7"/>
  <c r="D84" i="7"/>
  <c r="B84" i="7"/>
  <c r="F83" i="7"/>
  <c r="D83" i="7"/>
  <c r="B83" i="7"/>
  <c r="F82" i="7"/>
  <c r="D82" i="7"/>
  <c r="B82" i="7"/>
  <c r="F81" i="7"/>
  <c r="D81" i="7"/>
  <c r="B81" i="7"/>
  <c r="F80" i="7"/>
  <c r="D80" i="7"/>
  <c r="B80" i="7"/>
  <c r="F79" i="7"/>
  <c r="D79" i="7"/>
  <c r="B79" i="7"/>
  <c r="F78" i="7"/>
  <c r="D78" i="7"/>
  <c r="B78" i="7"/>
  <c r="F77" i="7"/>
  <c r="D77" i="7"/>
  <c r="B77" i="7"/>
  <c r="F76" i="7"/>
  <c r="D76" i="7"/>
  <c r="B76" i="7"/>
  <c r="F75" i="7"/>
  <c r="D75" i="7"/>
  <c r="B75" i="7"/>
  <c r="F74" i="7"/>
  <c r="D74" i="7"/>
  <c r="B74" i="7"/>
  <c r="F73" i="7"/>
  <c r="D73" i="7"/>
  <c r="B73" i="7"/>
  <c r="F72" i="7"/>
  <c r="D72" i="7"/>
  <c r="B72" i="7"/>
  <c r="F71" i="7"/>
  <c r="D71" i="7"/>
  <c r="B71" i="7"/>
  <c r="F70" i="7"/>
  <c r="D70" i="7"/>
  <c r="B70" i="7"/>
  <c r="F69" i="7"/>
  <c r="D69" i="7"/>
  <c r="B69" i="7"/>
  <c r="F68" i="7"/>
  <c r="D68" i="7"/>
  <c r="B68" i="7"/>
  <c r="F67" i="7"/>
  <c r="D67" i="7"/>
  <c r="B67" i="7"/>
  <c r="F66" i="7"/>
  <c r="D66" i="7"/>
  <c r="B66" i="7"/>
  <c r="F65" i="7"/>
  <c r="D65" i="7"/>
  <c r="B65" i="7"/>
  <c r="F64" i="7"/>
  <c r="D64" i="7"/>
  <c r="B64" i="7"/>
  <c r="F63" i="7"/>
  <c r="D63" i="7"/>
  <c r="B63" i="7"/>
  <c r="F62" i="7"/>
  <c r="D62" i="7"/>
  <c r="B62" i="7"/>
  <c r="F61" i="7"/>
  <c r="D61" i="7"/>
  <c r="B61" i="7"/>
  <c r="F60" i="7"/>
  <c r="D60" i="7"/>
  <c r="B60" i="7"/>
  <c r="F59" i="7"/>
  <c r="D59" i="7"/>
  <c r="B59" i="7"/>
  <c r="F58" i="7"/>
  <c r="D58" i="7"/>
  <c r="B58" i="7"/>
  <c r="F57" i="7"/>
  <c r="D57" i="7"/>
  <c r="B57" i="7"/>
  <c r="F56" i="7"/>
  <c r="D56" i="7"/>
  <c r="B56" i="7"/>
  <c r="F55" i="7"/>
  <c r="D55" i="7"/>
  <c r="B55" i="7"/>
  <c r="F54" i="7"/>
  <c r="D54" i="7"/>
  <c r="B54" i="7"/>
  <c r="F53" i="7"/>
  <c r="D53" i="7"/>
  <c r="B53" i="7"/>
  <c r="F52" i="7"/>
  <c r="D52" i="7"/>
  <c r="B52" i="7"/>
  <c r="F51" i="7"/>
  <c r="D51" i="7"/>
  <c r="B51" i="7"/>
  <c r="F50" i="7"/>
  <c r="D50" i="7"/>
  <c r="B50" i="7"/>
  <c r="F49" i="7"/>
  <c r="D49" i="7"/>
  <c r="B49" i="7"/>
  <c r="F48" i="7"/>
  <c r="D48" i="7"/>
  <c r="B48" i="7"/>
  <c r="F47" i="7"/>
  <c r="D47" i="7"/>
  <c r="B47" i="7"/>
  <c r="F46" i="7"/>
  <c r="D46" i="7"/>
  <c r="B46" i="7"/>
  <c r="F45" i="7"/>
  <c r="D45" i="7"/>
  <c r="B45" i="7"/>
  <c r="F44" i="7"/>
  <c r="D44" i="7"/>
  <c r="B44" i="7"/>
  <c r="F43" i="7"/>
  <c r="D43" i="7"/>
  <c r="B43" i="7"/>
  <c r="F42" i="7"/>
  <c r="D42" i="7"/>
  <c r="B42" i="7"/>
  <c r="F41" i="7"/>
  <c r="D41" i="7"/>
  <c r="B41" i="7"/>
  <c r="F40" i="7"/>
  <c r="D40" i="7"/>
  <c r="B40" i="7"/>
  <c r="F39" i="7"/>
  <c r="D39" i="7"/>
  <c r="B39" i="7"/>
  <c r="F38" i="7"/>
  <c r="D38" i="7"/>
  <c r="B38" i="7"/>
  <c r="F37" i="7"/>
  <c r="D37" i="7"/>
  <c r="B37" i="7"/>
  <c r="F36" i="7"/>
  <c r="D36" i="7"/>
  <c r="B36" i="7"/>
  <c r="F35" i="7"/>
  <c r="D35" i="7"/>
  <c r="B35" i="7"/>
  <c r="F34" i="7"/>
  <c r="D34" i="7"/>
  <c r="B34" i="7"/>
  <c r="F33" i="7"/>
  <c r="D33" i="7"/>
  <c r="B33" i="7"/>
  <c r="F32" i="7"/>
  <c r="D32" i="7"/>
  <c r="B32" i="7"/>
  <c r="F31" i="7"/>
  <c r="D31" i="7"/>
  <c r="B31" i="7"/>
  <c r="F30" i="7"/>
  <c r="D30" i="7"/>
  <c r="B30" i="7"/>
  <c r="F29" i="7"/>
  <c r="D29" i="7"/>
  <c r="B29" i="7"/>
  <c r="F28" i="7"/>
  <c r="D28" i="7"/>
  <c r="B28" i="7"/>
  <c r="F27" i="7"/>
  <c r="D27" i="7"/>
  <c r="B27" i="7"/>
  <c r="F26" i="7"/>
  <c r="D26" i="7"/>
  <c r="B26" i="7"/>
  <c r="F25" i="7"/>
  <c r="D25" i="7"/>
  <c r="B25" i="7"/>
  <c r="F24" i="7"/>
  <c r="D24" i="7"/>
  <c r="B24" i="7"/>
  <c r="F23" i="7"/>
  <c r="D23" i="7"/>
  <c r="B23" i="7"/>
  <c r="F22" i="7"/>
  <c r="D22" i="7"/>
  <c r="B22" i="7"/>
  <c r="F21" i="7"/>
  <c r="D21" i="7"/>
  <c r="B21" i="7"/>
  <c r="F20" i="7"/>
  <c r="D20" i="7"/>
  <c r="B20" i="7"/>
  <c r="F19" i="7"/>
  <c r="D19" i="7"/>
  <c r="B19" i="7"/>
  <c r="F18" i="7"/>
  <c r="D18" i="7"/>
  <c r="B18" i="7"/>
  <c r="F17" i="7"/>
  <c r="D17" i="7"/>
  <c r="B17" i="7"/>
  <c r="F16" i="7"/>
  <c r="D16" i="7"/>
  <c r="B16" i="7"/>
  <c r="F15" i="7"/>
  <c r="D15" i="7"/>
  <c r="B15" i="7"/>
  <c r="F14" i="7"/>
  <c r="D14" i="7"/>
  <c r="B14" i="7"/>
  <c r="F13" i="7"/>
  <c r="D13" i="7"/>
  <c r="B13" i="7"/>
  <c r="F12" i="7"/>
  <c r="D12" i="7"/>
  <c r="B12" i="7"/>
  <c r="F11" i="7"/>
  <c r="D11" i="7"/>
  <c r="B11" i="7"/>
  <c r="F10" i="7"/>
  <c r="D10" i="7"/>
  <c r="B10" i="7"/>
  <c r="F9" i="7"/>
  <c r="D9" i="7"/>
  <c r="B9" i="7"/>
  <c r="F8" i="7"/>
  <c r="D8" i="7"/>
  <c r="B8" i="7"/>
  <c r="F7" i="7"/>
  <c r="D7" i="7"/>
  <c r="B7" i="7"/>
  <c r="F6" i="7"/>
  <c r="D6" i="7"/>
  <c r="B6" i="7"/>
  <c r="F5" i="7"/>
  <c r="D5" i="7"/>
  <c r="B5" i="7"/>
  <c r="F4" i="7"/>
  <c r="D4" i="7"/>
  <c r="B4" i="7"/>
  <c r="F3" i="7"/>
  <c r="D3" i="7"/>
  <c r="B3" i="7"/>
  <c r="F2" i="7"/>
  <c r="D2" i="7"/>
  <c r="B2" i="7"/>
  <c r="G300" i="4"/>
  <c r="E300" i="4"/>
  <c r="G299" i="4"/>
  <c r="E299" i="4"/>
  <c r="G298" i="4"/>
  <c r="E298" i="4"/>
  <c r="G297" i="4"/>
  <c r="E297" i="4"/>
  <c r="G296" i="4"/>
  <c r="E296" i="4"/>
  <c r="G295" i="4"/>
  <c r="E295" i="4"/>
  <c r="G294" i="4"/>
  <c r="E294" i="4"/>
  <c r="G293" i="4"/>
  <c r="E293" i="4"/>
  <c r="G292" i="4"/>
  <c r="E292" i="4"/>
  <c r="G291" i="4"/>
  <c r="E291" i="4"/>
  <c r="G290" i="4"/>
  <c r="E290" i="4"/>
  <c r="G289" i="4"/>
  <c r="E289" i="4"/>
  <c r="G288" i="4"/>
  <c r="E288" i="4"/>
  <c r="G287" i="4"/>
  <c r="E287" i="4"/>
  <c r="G286" i="4"/>
  <c r="E286" i="4"/>
  <c r="G285" i="4"/>
  <c r="E285" i="4"/>
  <c r="G284" i="4"/>
  <c r="E284" i="4"/>
  <c r="G283" i="4"/>
  <c r="E283" i="4"/>
  <c r="G282" i="4"/>
  <c r="E282" i="4"/>
  <c r="G281" i="4"/>
  <c r="E281" i="4"/>
  <c r="G280" i="4"/>
  <c r="E280" i="4"/>
  <c r="G279" i="4"/>
  <c r="E279" i="4"/>
  <c r="G278" i="4"/>
  <c r="E278" i="4"/>
  <c r="G277" i="4"/>
  <c r="E277" i="4"/>
  <c r="G276" i="4"/>
  <c r="E276" i="4"/>
  <c r="G275" i="4"/>
  <c r="E275" i="4"/>
  <c r="G274" i="4"/>
  <c r="E274" i="4"/>
  <c r="G273" i="4"/>
  <c r="E273" i="4"/>
  <c r="G272" i="4"/>
  <c r="E272" i="4"/>
  <c r="G271" i="4"/>
  <c r="E271" i="4"/>
  <c r="G270" i="4"/>
  <c r="E270" i="4"/>
  <c r="G269" i="4"/>
  <c r="E269" i="4"/>
  <c r="G268" i="4"/>
  <c r="E268" i="4"/>
  <c r="G267" i="4"/>
  <c r="E267" i="4"/>
  <c r="G266" i="4"/>
  <c r="E266" i="4"/>
  <c r="G265" i="4"/>
  <c r="E265" i="4"/>
  <c r="G264" i="4"/>
  <c r="E264" i="4"/>
  <c r="G263" i="4"/>
  <c r="E263" i="4"/>
  <c r="G262" i="4"/>
  <c r="E262" i="4"/>
  <c r="G261" i="4"/>
  <c r="E261" i="4"/>
  <c r="G260" i="4"/>
  <c r="E260" i="4"/>
  <c r="G259" i="4"/>
  <c r="E259" i="4"/>
  <c r="G258" i="4"/>
  <c r="E258" i="4"/>
  <c r="G257" i="4"/>
  <c r="E257" i="4"/>
  <c r="G256" i="4"/>
  <c r="E256" i="4"/>
  <c r="G255" i="4"/>
  <c r="E255" i="4"/>
  <c r="G254" i="4"/>
  <c r="E254" i="4"/>
  <c r="G253" i="4"/>
  <c r="E253" i="4"/>
  <c r="G252" i="4"/>
  <c r="E252" i="4"/>
  <c r="G251" i="4"/>
  <c r="E251" i="4"/>
  <c r="G250" i="4"/>
  <c r="E250" i="4"/>
  <c r="G249" i="4"/>
  <c r="E249" i="4"/>
  <c r="G248" i="4"/>
  <c r="E248" i="4"/>
  <c r="G247" i="4"/>
  <c r="E247" i="4"/>
  <c r="G246" i="4"/>
  <c r="E246" i="4"/>
  <c r="G245" i="4"/>
  <c r="E245" i="4"/>
  <c r="G244" i="4"/>
  <c r="E244" i="4"/>
  <c r="G243" i="4"/>
  <c r="E243" i="4"/>
  <c r="G242" i="4"/>
  <c r="E242" i="4"/>
  <c r="G241" i="4"/>
  <c r="E241" i="4"/>
  <c r="G240" i="4"/>
  <c r="E240" i="4"/>
  <c r="G239" i="4"/>
  <c r="E239" i="4"/>
  <c r="G238" i="4"/>
  <c r="E238" i="4"/>
  <c r="G237" i="4"/>
  <c r="E237" i="4"/>
  <c r="G236" i="4"/>
  <c r="E236" i="4"/>
  <c r="G235" i="4"/>
  <c r="E235" i="4"/>
  <c r="G234" i="4"/>
  <c r="E234" i="4"/>
  <c r="G233" i="4"/>
  <c r="E233" i="4"/>
  <c r="G232" i="4"/>
  <c r="E232" i="4"/>
  <c r="G231" i="4"/>
  <c r="E231" i="4"/>
  <c r="G230" i="4"/>
  <c r="E230" i="4"/>
  <c r="G229" i="4"/>
  <c r="E229" i="4"/>
  <c r="G228" i="4"/>
  <c r="E228" i="4"/>
  <c r="G227" i="4"/>
  <c r="E227" i="4"/>
  <c r="G226" i="4"/>
  <c r="E226" i="4"/>
  <c r="G225" i="4"/>
  <c r="E225" i="4"/>
  <c r="G224" i="4"/>
  <c r="E224" i="4"/>
  <c r="G223" i="4"/>
  <c r="E223" i="4"/>
  <c r="G222" i="4"/>
  <c r="E222" i="4"/>
  <c r="G221" i="4"/>
  <c r="E221" i="4"/>
  <c r="G220" i="4"/>
  <c r="E220" i="4"/>
  <c r="G219" i="4"/>
  <c r="E219" i="4"/>
  <c r="G218" i="4"/>
  <c r="E218" i="4"/>
  <c r="G217" i="4"/>
  <c r="E217" i="4"/>
  <c r="G216" i="4"/>
  <c r="E216" i="4"/>
  <c r="G215" i="4"/>
  <c r="E215" i="4"/>
  <c r="G214" i="4"/>
  <c r="E214" i="4"/>
  <c r="G213" i="4"/>
  <c r="E213" i="4"/>
  <c r="G212" i="4"/>
  <c r="E212" i="4"/>
  <c r="G211" i="4"/>
  <c r="E211" i="4"/>
  <c r="G210" i="4"/>
  <c r="E210" i="4"/>
  <c r="G209" i="4"/>
  <c r="E209" i="4"/>
  <c r="G208" i="4"/>
  <c r="E208" i="4"/>
  <c r="G207" i="4"/>
  <c r="E207" i="4"/>
  <c r="G206" i="4"/>
  <c r="E206" i="4"/>
  <c r="G205" i="4"/>
  <c r="E205" i="4"/>
  <c r="G204" i="4"/>
  <c r="E204" i="4"/>
  <c r="G203" i="4"/>
  <c r="E203" i="4"/>
  <c r="G202" i="4"/>
  <c r="E202" i="4"/>
  <c r="G201" i="4"/>
  <c r="E201" i="4"/>
  <c r="G200" i="4"/>
  <c r="E200" i="4"/>
  <c r="G199" i="4"/>
  <c r="E199" i="4"/>
  <c r="G198" i="4"/>
  <c r="E198" i="4"/>
  <c r="G197" i="4"/>
  <c r="E197" i="4"/>
  <c r="G196" i="4"/>
  <c r="E196" i="4"/>
  <c r="G195" i="4"/>
  <c r="E195" i="4"/>
  <c r="G194" i="4"/>
  <c r="E194" i="4"/>
  <c r="G193" i="4"/>
  <c r="E193" i="4"/>
  <c r="G192" i="4"/>
  <c r="E192" i="4"/>
  <c r="G191" i="4"/>
  <c r="E191" i="4"/>
  <c r="G190" i="4"/>
  <c r="E190" i="4"/>
  <c r="G189" i="4"/>
  <c r="E189" i="4"/>
  <c r="G188" i="4"/>
  <c r="E188" i="4"/>
  <c r="G187" i="4"/>
  <c r="E187" i="4"/>
  <c r="G186" i="4"/>
  <c r="E186" i="4"/>
  <c r="G185" i="4"/>
  <c r="E185" i="4"/>
  <c r="G184" i="4"/>
  <c r="E184" i="4"/>
  <c r="G183" i="4"/>
  <c r="E183" i="4"/>
  <c r="G182" i="4"/>
  <c r="E182" i="4"/>
  <c r="G181" i="4"/>
  <c r="E181" i="4"/>
  <c r="G180" i="4"/>
  <c r="E180" i="4"/>
  <c r="G179" i="4"/>
  <c r="E179" i="4"/>
  <c r="G178" i="4"/>
  <c r="E178" i="4"/>
  <c r="G177" i="4"/>
  <c r="E177" i="4"/>
  <c r="G176" i="4"/>
  <c r="E176" i="4"/>
  <c r="G175" i="4"/>
  <c r="E175" i="4"/>
  <c r="G174" i="4"/>
  <c r="E174" i="4"/>
  <c r="G173" i="4"/>
  <c r="E173" i="4"/>
  <c r="G172" i="4"/>
  <c r="E172" i="4"/>
  <c r="G171" i="4"/>
  <c r="E171" i="4"/>
  <c r="G170" i="4"/>
  <c r="E170" i="4"/>
  <c r="G169" i="4"/>
  <c r="E169" i="4"/>
  <c r="G168" i="4"/>
  <c r="E168" i="4"/>
  <c r="G167" i="4"/>
  <c r="E167" i="4"/>
  <c r="G166" i="4"/>
  <c r="E166" i="4"/>
  <c r="G165" i="4"/>
  <c r="E165" i="4"/>
  <c r="G164" i="4"/>
  <c r="E164" i="4"/>
  <c r="G163" i="4"/>
  <c r="E163" i="4"/>
  <c r="G162" i="4"/>
  <c r="E162" i="4"/>
  <c r="G161" i="4"/>
  <c r="E161" i="4"/>
  <c r="G160" i="4"/>
  <c r="E160" i="4"/>
  <c r="G159" i="4"/>
  <c r="E159" i="4"/>
  <c r="G158" i="4"/>
  <c r="E158" i="4"/>
  <c r="G157" i="4"/>
  <c r="E157" i="4"/>
  <c r="G156" i="4"/>
  <c r="E156" i="4"/>
  <c r="G155" i="4"/>
  <c r="E155" i="4"/>
  <c r="G154" i="4"/>
  <c r="E154" i="4"/>
  <c r="G153" i="4"/>
  <c r="E153" i="4"/>
  <c r="G152" i="4"/>
  <c r="E152" i="4"/>
  <c r="G151" i="4"/>
  <c r="E151" i="4"/>
  <c r="G150" i="4"/>
  <c r="E150" i="4"/>
  <c r="G149" i="4"/>
  <c r="E149" i="4"/>
  <c r="G148" i="4"/>
  <c r="E148" i="4"/>
  <c r="G147" i="4"/>
  <c r="E147" i="4"/>
  <c r="G146" i="4"/>
  <c r="E146" i="4"/>
  <c r="G145" i="4"/>
  <c r="E145" i="4"/>
  <c r="G144" i="4"/>
  <c r="E144" i="4"/>
  <c r="G143" i="4"/>
  <c r="E143" i="4"/>
  <c r="G142" i="4"/>
  <c r="E142" i="4"/>
  <c r="G141" i="4"/>
  <c r="E141" i="4"/>
  <c r="G140" i="4"/>
  <c r="E140" i="4"/>
  <c r="G139" i="4"/>
  <c r="E139" i="4"/>
  <c r="G138" i="4"/>
  <c r="E138" i="4"/>
  <c r="G137" i="4"/>
  <c r="E137" i="4"/>
  <c r="G136" i="4"/>
  <c r="E136" i="4"/>
  <c r="G135" i="4"/>
  <c r="E135" i="4"/>
  <c r="G134" i="4"/>
  <c r="E134" i="4"/>
  <c r="G133" i="4"/>
  <c r="E133" i="4"/>
  <c r="G132" i="4"/>
  <c r="E132" i="4"/>
  <c r="G131" i="4"/>
  <c r="E131" i="4"/>
  <c r="G130" i="4"/>
  <c r="E130" i="4"/>
  <c r="G129" i="4"/>
  <c r="E129" i="4"/>
  <c r="G128" i="4"/>
  <c r="E128" i="4"/>
  <c r="G127" i="4"/>
  <c r="E127" i="4"/>
  <c r="G126" i="4"/>
  <c r="E126" i="4"/>
  <c r="G125" i="4"/>
  <c r="E125" i="4"/>
  <c r="G124" i="4"/>
  <c r="E124" i="4"/>
  <c r="G123" i="4"/>
  <c r="E123" i="4"/>
  <c r="G122" i="4"/>
  <c r="E122" i="4"/>
  <c r="G121" i="4"/>
  <c r="E121" i="4"/>
  <c r="G120" i="4"/>
  <c r="E120" i="4"/>
  <c r="G119" i="4"/>
  <c r="E119" i="4"/>
  <c r="G118" i="4"/>
  <c r="E118" i="4"/>
  <c r="G117" i="4"/>
  <c r="E117" i="4"/>
  <c r="G116" i="4"/>
  <c r="E116" i="4"/>
  <c r="G115" i="4"/>
  <c r="E115" i="4"/>
  <c r="G114" i="4"/>
  <c r="E114" i="4"/>
  <c r="G113" i="4"/>
  <c r="E113" i="4"/>
  <c r="G112" i="4"/>
  <c r="E112" i="4"/>
  <c r="G111" i="4"/>
  <c r="E111" i="4"/>
  <c r="G110" i="4"/>
  <c r="E110" i="4"/>
  <c r="G109" i="4"/>
  <c r="E109" i="4"/>
  <c r="G108" i="4"/>
  <c r="E108" i="4"/>
  <c r="G107" i="4"/>
  <c r="E107" i="4"/>
  <c r="G106" i="4"/>
  <c r="E106" i="4"/>
  <c r="G105" i="4"/>
  <c r="E105" i="4"/>
  <c r="G104" i="4"/>
  <c r="E104" i="4"/>
  <c r="G103" i="4"/>
  <c r="E103" i="4"/>
  <c r="G102" i="4"/>
  <c r="E102" i="4"/>
  <c r="G101" i="4"/>
  <c r="E101" i="4"/>
  <c r="G100" i="4"/>
  <c r="E100" i="4"/>
  <c r="G99" i="4"/>
  <c r="E99" i="4"/>
  <c r="G98" i="4"/>
  <c r="E98" i="4"/>
  <c r="G97" i="4"/>
  <c r="E97" i="4"/>
  <c r="G96" i="4"/>
  <c r="E96" i="4"/>
  <c r="G95" i="4"/>
  <c r="E95" i="4"/>
  <c r="G94" i="4"/>
  <c r="E94" i="4"/>
  <c r="G93" i="4"/>
  <c r="E93" i="4"/>
  <c r="G92" i="4"/>
  <c r="E92" i="4"/>
  <c r="G91" i="4"/>
  <c r="E91" i="4"/>
  <c r="G90" i="4"/>
  <c r="E90" i="4"/>
  <c r="G89" i="4"/>
  <c r="E89" i="4"/>
  <c r="G88" i="4"/>
  <c r="E88" i="4"/>
  <c r="G87" i="4"/>
  <c r="E87" i="4"/>
  <c r="G86" i="4"/>
  <c r="E86" i="4"/>
  <c r="G85" i="4"/>
  <c r="E85" i="4"/>
  <c r="G84" i="4"/>
  <c r="E84" i="4"/>
  <c r="G83" i="4"/>
  <c r="E83" i="4"/>
  <c r="G82" i="4"/>
  <c r="E82" i="4"/>
  <c r="G81" i="4"/>
  <c r="E81" i="4"/>
  <c r="G80" i="4"/>
  <c r="E80" i="4"/>
  <c r="G79" i="4"/>
  <c r="E79" i="4"/>
  <c r="G78" i="4"/>
  <c r="E78" i="4"/>
  <c r="G77" i="4"/>
  <c r="E77" i="4"/>
  <c r="G76" i="4"/>
  <c r="E76" i="4"/>
  <c r="G75" i="4"/>
  <c r="E75" i="4"/>
  <c r="G74" i="4"/>
  <c r="E74" i="4"/>
  <c r="G73" i="4"/>
  <c r="E73" i="4"/>
  <c r="G72" i="4"/>
  <c r="E72" i="4"/>
  <c r="G71" i="4"/>
  <c r="E71" i="4"/>
  <c r="G70" i="4"/>
  <c r="E70" i="4"/>
  <c r="G69" i="4"/>
  <c r="E69" i="4"/>
  <c r="G68" i="4"/>
  <c r="E68" i="4"/>
  <c r="G67" i="4"/>
  <c r="E67" i="4"/>
  <c r="G66" i="4"/>
  <c r="E66" i="4"/>
  <c r="G65" i="4"/>
  <c r="E65" i="4"/>
  <c r="G64" i="4"/>
  <c r="E64" i="4"/>
  <c r="G63" i="4"/>
  <c r="E63" i="4"/>
  <c r="G62" i="4"/>
  <c r="E62" i="4"/>
  <c r="G61" i="4"/>
  <c r="E61" i="4"/>
  <c r="G60" i="4"/>
  <c r="E60" i="4"/>
  <c r="G59" i="4"/>
  <c r="E59" i="4"/>
  <c r="G58" i="4"/>
  <c r="E58" i="4"/>
  <c r="G57" i="4"/>
  <c r="E57" i="4"/>
  <c r="G56" i="4"/>
  <c r="E56" i="4"/>
  <c r="G55" i="4"/>
  <c r="E55" i="4"/>
  <c r="G54" i="4"/>
  <c r="E54" i="4"/>
  <c r="G53" i="4"/>
  <c r="E53" i="4"/>
  <c r="G52" i="4"/>
  <c r="E52" i="4"/>
  <c r="G51" i="4"/>
  <c r="E51" i="4"/>
  <c r="G50" i="4"/>
  <c r="E50" i="4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G3" i="4"/>
  <c r="E3" i="4"/>
  <c r="G2" i="4"/>
  <c r="E2" i="4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M4" i="9" l="1"/>
  <c r="M8" i="9"/>
  <c r="M12" i="9"/>
  <c r="M16" i="9"/>
  <c r="M20" i="9"/>
  <c r="M24" i="9"/>
  <c r="M28" i="9"/>
  <c r="M32" i="9"/>
  <c r="M36" i="9"/>
  <c r="M40" i="9"/>
  <c r="M44" i="9"/>
  <c r="M48" i="9"/>
  <c r="H2" i="9"/>
  <c r="E3" i="9"/>
  <c r="B4" i="9"/>
  <c r="N4" i="9"/>
  <c r="K5" i="9"/>
  <c r="H6" i="9"/>
  <c r="E7" i="9"/>
  <c r="B8" i="9"/>
  <c r="N8" i="9"/>
  <c r="K9" i="9"/>
  <c r="H10" i="9"/>
  <c r="E11" i="9"/>
  <c r="B12" i="9"/>
  <c r="N12" i="9"/>
  <c r="K13" i="9"/>
  <c r="H14" i="9"/>
  <c r="E15" i="9"/>
  <c r="B16" i="9"/>
  <c r="N16" i="9"/>
  <c r="K17" i="9"/>
  <c r="H18" i="9"/>
  <c r="E19" i="9"/>
  <c r="B20" i="9"/>
  <c r="N20" i="9"/>
  <c r="K21" i="9"/>
  <c r="H22" i="9"/>
  <c r="E23" i="9"/>
  <c r="B24" i="9"/>
  <c r="N24" i="9"/>
  <c r="K25" i="9"/>
  <c r="H26" i="9"/>
  <c r="E27" i="9"/>
  <c r="B28" i="9"/>
  <c r="N28" i="9"/>
  <c r="K29" i="9"/>
  <c r="H30" i="9"/>
  <c r="E31" i="9"/>
  <c r="B32" i="9"/>
  <c r="N32" i="9"/>
  <c r="K33" i="9"/>
  <c r="H34" i="9"/>
  <c r="E35" i="9"/>
  <c r="B36" i="9"/>
  <c r="N36" i="9"/>
  <c r="K37" i="9"/>
  <c r="H38" i="9"/>
  <c r="E39" i="9"/>
  <c r="B40" i="9"/>
  <c r="N40" i="9"/>
  <c r="K41" i="9"/>
  <c r="H42" i="9"/>
  <c r="E43" i="9"/>
  <c r="B44" i="9"/>
  <c r="N44" i="9"/>
  <c r="K45" i="9"/>
  <c r="H46" i="9"/>
  <c r="E47" i="9"/>
  <c r="B48" i="9"/>
  <c r="N48" i="9"/>
  <c r="K49" i="9"/>
  <c r="H50" i="9"/>
  <c r="E51" i="9"/>
  <c r="C4" i="9"/>
  <c r="O4" i="9"/>
  <c r="C8" i="9"/>
  <c r="O8" i="9"/>
  <c r="C12" i="9"/>
  <c r="O12" i="9"/>
  <c r="C16" i="9"/>
  <c r="O16" i="9"/>
  <c r="C20" i="9"/>
  <c r="O20" i="9"/>
  <c r="C24" i="9"/>
  <c r="O24" i="9"/>
  <c r="C28" i="9"/>
  <c r="O28" i="9"/>
  <c r="C32" i="9"/>
  <c r="O32" i="9"/>
  <c r="C36" i="9"/>
  <c r="O36" i="9"/>
  <c r="C40" i="9"/>
  <c r="O40" i="9"/>
  <c r="C44" i="9"/>
  <c r="O44" i="9"/>
  <c r="C48" i="9"/>
  <c r="O48" i="9"/>
  <c r="D4" i="9"/>
  <c r="M5" i="9"/>
  <c r="D8" i="9"/>
  <c r="M9" i="9"/>
  <c r="D12" i="9"/>
  <c r="M13" i="9"/>
  <c r="D16" i="9"/>
  <c r="M17" i="9"/>
  <c r="D20" i="9"/>
  <c r="M21" i="9"/>
  <c r="D24" i="9"/>
  <c r="M25" i="9"/>
  <c r="D28" i="9"/>
  <c r="M29" i="9"/>
  <c r="D32" i="9"/>
  <c r="M33" i="9"/>
  <c r="D36" i="9"/>
  <c r="M37" i="9"/>
  <c r="D40" i="9"/>
  <c r="M41" i="9"/>
  <c r="D44" i="9"/>
  <c r="M45" i="9"/>
  <c r="D48" i="9"/>
  <c r="M49" i="9"/>
  <c r="J50" i="9"/>
  <c r="G51" i="9"/>
  <c r="E4" i="9"/>
  <c r="E8" i="9"/>
  <c r="E12" i="9"/>
  <c r="E16" i="9"/>
  <c r="E20" i="9"/>
  <c r="E24" i="9"/>
  <c r="E28" i="9"/>
  <c r="E32" i="9"/>
  <c r="E36" i="9"/>
  <c r="E40" i="9"/>
  <c r="E44" i="9"/>
  <c r="E48" i="9"/>
  <c r="F4" i="9"/>
  <c r="F8" i="9"/>
  <c r="F12" i="9"/>
  <c r="F16" i="9"/>
  <c r="F20" i="9"/>
  <c r="F24" i="9"/>
  <c r="F28" i="9"/>
  <c r="F32" i="9"/>
  <c r="F36" i="9"/>
  <c r="F40" i="9"/>
  <c r="F44" i="9"/>
  <c r="F48" i="9"/>
  <c r="M2" i="9"/>
  <c r="J3" i="9"/>
  <c r="G4" i="9"/>
  <c r="D5" i="9"/>
  <c r="M6" i="9"/>
  <c r="J7" i="9"/>
  <c r="G8" i="9"/>
  <c r="D9" i="9"/>
  <c r="M10" i="9"/>
  <c r="J11" i="9"/>
  <c r="G12" i="9"/>
  <c r="D13" i="9"/>
  <c r="M14" i="9"/>
  <c r="J15" i="9"/>
  <c r="G16" i="9"/>
  <c r="D17" i="9"/>
  <c r="M18" i="9"/>
  <c r="J19" i="9"/>
  <c r="G20" i="9"/>
  <c r="D21" i="9"/>
  <c r="M22" i="9"/>
  <c r="J23" i="9"/>
  <c r="G24" i="9"/>
  <c r="D25" i="9"/>
  <c r="M26" i="9"/>
  <c r="J27" i="9"/>
  <c r="G28" i="9"/>
  <c r="D29" i="9"/>
  <c r="M30" i="9"/>
  <c r="J31" i="9"/>
  <c r="G32" i="9"/>
  <c r="D33" i="9"/>
  <c r="M34" i="9"/>
  <c r="J35" i="9"/>
  <c r="G36" i="9"/>
  <c r="D37" i="9"/>
  <c r="M38" i="9"/>
  <c r="J39" i="9"/>
  <c r="G40" i="9"/>
  <c r="D41" i="9"/>
  <c r="M42" i="9"/>
  <c r="J43" i="9"/>
  <c r="G44" i="9"/>
  <c r="D45" i="9"/>
  <c r="M46" i="9"/>
  <c r="J47" i="9"/>
  <c r="G48" i="9"/>
  <c r="D49" i="9"/>
  <c r="M50" i="9"/>
  <c r="J51" i="9"/>
  <c r="B2" i="9"/>
  <c r="N2" i="9"/>
  <c r="K3" i="9"/>
  <c r="H4" i="9"/>
  <c r="E5" i="9"/>
  <c r="B6" i="9"/>
  <c r="N6" i="9"/>
  <c r="K7" i="9"/>
  <c r="H8" i="9"/>
  <c r="E9" i="9"/>
  <c r="B10" i="9"/>
  <c r="N10" i="9"/>
  <c r="K11" i="9"/>
  <c r="H12" i="9"/>
  <c r="E13" i="9"/>
  <c r="B14" i="9"/>
  <c r="N14" i="9"/>
  <c r="K15" i="9"/>
  <c r="H16" i="9"/>
  <c r="E17" i="9"/>
  <c r="B18" i="9"/>
  <c r="N18" i="9"/>
  <c r="K19" i="9"/>
  <c r="H20" i="9"/>
  <c r="E21" i="9"/>
  <c r="B22" i="9"/>
  <c r="N22" i="9"/>
  <c r="K23" i="9"/>
  <c r="H24" i="9"/>
  <c r="E25" i="9"/>
  <c r="B26" i="9"/>
  <c r="N26" i="9"/>
  <c r="K27" i="9"/>
  <c r="H28" i="9"/>
  <c r="E29" i="9"/>
  <c r="B30" i="9"/>
  <c r="N30" i="9"/>
  <c r="K31" i="9"/>
  <c r="H32" i="9"/>
  <c r="E33" i="9"/>
  <c r="B34" i="9"/>
  <c r="N34" i="9"/>
  <c r="K35" i="9"/>
  <c r="H36" i="9"/>
  <c r="E37" i="9"/>
  <c r="B38" i="9"/>
  <c r="N38" i="9"/>
  <c r="K39" i="9"/>
  <c r="H40" i="9"/>
  <c r="E41" i="9"/>
  <c r="B42" i="9"/>
  <c r="N42" i="9"/>
  <c r="K43" i="9"/>
  <c r="H44" i="9"/>
  <c r="E45" i="9"/>
  <c r="B46" i="9"/>
  <c r="N46" i="9"/>
  <c r="K47" i="9"/>
  <c r="H48" i="9"/>
  <c r="E49" i="9"/>
  <c r="B50" i="9"/>
  <c r="N50" i="9"/>
  <c r="K51" i="9"/>
  <c r="C2" i="9"/>
  <c r="L3" i="9"/>
  <c r="I4" i="9"/>
  <c r="F5" i="9"/>
  <c r="C6" i="9"/>
  <c r="L7" i="9"/>
  <c r="I8" i="9"/>
  <c r="F9" i="9"/>
  <c r="C10" i="9"/>
  <c r="L11" i="9"/>
  <c r="I12" i="9"/>
  <c r="F13" i="9"/>
  <c r="C14" i="9"/>
  <c r="L15" i="9"/>
  <c r="I16" i="9"/>
  <c r="F17" i="9"/>
  <c r="C18" i="9"/>
  <c r="L19" i="9"/>
  <c r="I20" i="9"/>
  <c r="F21" i="9"/>
  <c r="C22" i="9"/>
  <c r="L23" i="9"/>
  <c r="I24" i="9"/>
  <c r="F25" i="9"/>
  <c r="C26" i="9"/>
  <c r="L27" i="9"/>
  <c r="I28" i="9"/>
  <c r="F29" i="9"/>
  <c r="C30" i="9"/>
  <c r="L31" i="9"/>
  <c r="I32" i="9"/>
  <c r="F33" i="9"/>
  <c r="C34" i="9"/>
  <c r="L35" i="9"/>
  <c r="I36" i="9"/>
  <c r="F37" i="9"/>
  <c r="C38" i="9"/>
  <c r="L39" i="9"/>
  <c r="I40" i="9"/>
  <c r="F41" i="9"/>
  <c r="C42" i="9"/>
  <c r="L43" i="9"/>
  <c r="I44" i="9"/>
  <c r="F45" i="9"/>
  <c r="C46" i="9"/>
  <c r="L47" i="9"/>
  <c r="I48" i="9"/>
  <c r="F49" i="9"/>
  <c r="C50" i="9"/>
  <c r="L51" i="9"/>
  <c r="J4" i="9"/>
  <c r="J8" i="9"/>
  <c r="J12" i="9"/>
  <c r="J16" i="9"/>
  <c r="J20" i="9"/>
  <c r="J24" i="9"/>
  <c r="J28" i="9"/>
  <c r="J32" i="9"/>
  <c r="J36" i="9"/>
  <c r="J40" i="9"/>
  <c r="J44" i="9"/>
  <c r="J48" i="9"/>
</calcChain>
</file>

<file path=xl/sharedStrings.xml><?xml version="1.0" encoding="utf-8"?>
<sst xmlns="http://schemas.openxmlformats.org/spreadsheetml/2006/main" count="1025" uniqueCount="480">
  <si>
    <r>
      <rPr>
        <b/>
        <sz val="14"/>
        <color rgb="FF1F3864"/>
        <rFont val="Noto Sans CJK SC"/>
        <family val="2"/>
      </rPr>
      <t xml:space="preserve">매트리스 </t>
    </r>
    <r>
      <rPr>
        <b/>
        <sz val="14"/>
        <color rgb="FF1F3864"/>
        <rFont val="Arial"/>
        <family val="2"/>
      </rPr>
      <t xml:space="preserve">BOM(Bill of Materials, </t>
    </r>
    <r>
      <rPr>
        <b/>
        <sz val="14"/>
        <color rgb="FF1F3864"/>
        <rFont val="Noto Sans CJK SC"/>
        <family val="2"/>
      </rPr>
      <t>자재명세서</t>
    </r>
    <r>
      <rPr>
        <b/>
        <sz val="14"/>
        <color rgb="FF1F3864"/>
        <rFont val="Arial"/>
        <family val="2"/>
      </rPr>
      <t xml:space="preserve">) </t>
    </r>
    <r>
      <rPr>
        <b/>
        <sz val="14"/>
        <color rgb="FF1F3864"/>
        <rFont val="Noto Sans CJK SC"/>
        <family val="2"/>
      </rPr>
      <t>관리 템플릿 — 사용 안내</t>
    </r>
  </si>
  <si>
    <r>
      <rPr>
        <sz val="10"/>
        <rFont val="Noto Sans CJK SC"/>
        <family val="2"/>
      </rPr>
      <t>이 파일은 상품별 부품 구성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제조사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담당자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개발 진행률을 한 곳에서 관리하기 위한 템플릿입니다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추후 관계형 </t>
    </r>
    <r>
      <rPr>
        <sz val="10"/>
        <rFont val="Arial"/>
        <family val="2"/>
      </rPr>
      <t>DB(Database)</t>
    </r>
    <r>
      <rPr>
        <sz val="10"/>
        <rFont val="Noto Sans CJK SC"/>
        <family val="2"/>
      </rPr>
      <t>와 내부 툴로 이전하는 것을 전제로</t>
    </r>
    <r>
      <rPr>
        <sz val="10"/>
        <rFont val="Arial"/>
        <family val="2"/>
      </rPr>
      <t>, '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테이블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코드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기본키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구조로 설계되어 있습니다</t>
    </r>
    <r>
      <rPr>
        <sz val="10"/>
        <rFont val="Arial"/>
        <family val="2"/>
      </rPr>
      <t>.</t>
    </r>
  </si>
  <si>
    <r>
      <rPr>
        <b/>
        <sz val="11"/>
        <color rgb="FFFFFFFF"/>
        <rFont val="Arial"/>
        <family val="2"/>
      </rPr>
      <t xml:space="preserve">1. </t>
    </r>
    <r>
      <rPr>
        <b/>
        <sz val="11"/>
        <color rgb="FFFFFFFF"/>
        <rFont val="Noto Sans CJK SC"/>
        <family val="2"/>
      </rPr>
      <t>용어 풀이</t>
    </r>
  </si>
  <si>
    <t>약자</t>
  </si>
  <si>
    <t>풀텍스트</t>
  </si>
  <si>
    <t>쉬운 말</t>
  </si>
  <si>
    <t>BOM</t>
  </si>
  <si>
    <r>
      <rPr>
        <sz val="9"/>
        <rFont val="Arial"/>
        <family val="2"/>
      </rPr>
      <t>Bill of Materials (</t>
    </r>
    <r>
      <rPr>
        <sz val="9"/>
        <rFont val="Noto Sans CJK SC"/>
        <family val="2"/>
      </rPr>
      <t>자재명세서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</si>
  <si>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구성표</t>
    </r>
    <r>
      <rPr>
        <sz val="9"/>
        <rFont val="Arial"/>
        <family val="2"/>
      </rPr>
      <t>. '</t>
    </r>
    <r>
      <rPr>
        <sz val="9"/>
        <rFont val="Noto Sans CJK SC"/>
        <family val="2"/>
      </rPr>
      <t>이 상품 하나를 만들려면 어떤 부품이 몇 개 들어가나</t>
    </r>
    <r>
      <rPr>
        <sz val="9"/>
        <rFont val="Arial"/>
        <family val="2"/>
      </rPr>
      <t>'</t>
    </r>
  </si>
  <si>
    <t>AVL</t>
  </si>
  <si>
    <r>
      <rPr>
        <sz val="9"/>
        <rFont val="Arial"/>
        <family val="2"/>
      </rPr>
      <t>Approved Vendor List (</t>
    </r>
    <r>
      <rPr>
        <sz val="9"/>
        <rFont val="Noto Sans CJK SC"/>
        <family val="2"/>
      </rPr>
      <t>승인 협력사 목록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</si>
  <si>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이 부품은 어느 업체에서 사도 되나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사내에서 누가 챙기나</t>
    </r>
    <r>
      <rPr>
        <sz val="9"/>
        <rFont val="Arial"/>
        <family val="2"/>
      </rPr>
      <t>'</t>
    </r>
  </si>
  <si>
    <t>NPI</t>
  </si>
  <si>
    <r>
      <rPr>
        <sz val="9"/>
        <rFont val="Arial"/>
        <family val="2"/>
      </rPr>
      <t>New Product Introduction (</t>
    </r>
    <r>
      <rPr>
        <sz val="9"/>
        <rFont val="Noto Sans CJK SC"/>
        <family val="2"/>
      </rPr>
      <t>신제품 개발 진행관리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</si>
  <si>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지금 어디까지 왔고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무엇이 막혀 있나</t>
    </r>
    <r>
      <rPr>
        <sz val="9"/>
        <rFont val="Arial"/>
        <family val="2"/>
      </rPr>
      <t>'</t>
    </r>
  </si>
  <si>
    <t>EVT</t>
  </si>
  <si>
    <r>
      <rPr>
        <sz val="9"/>
        <rFont val="Arial"/>
        <family val="2"/>
      </rPr>
      <t>Engineering Validation Test (</t>
    </r>
    <r>
      <rPr>
        <sz val="9"/>
        <rFont val="Noto Sans CJK SC"/>
        <family val="2"/>
      </rPr>
      <t>설계 검증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</si>
  <si>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개발 </t>
    </r>
    <r>
      <rPr>
        <sz val="9"/>
        <rFont val="Arial"/>
        <family val="2"/>
      </rPr>
      <t>1</t>
    </r>
    <r>
      <rPr>
        <sz val="9"/>
        <rFont val="Noto Sans CJK SC"/>
        <family val="2"/>
      </rPr>
      <t>단계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일단 동작하는지 확인하는 시제품 단계</t>
    </r>
  </si>
  <si>
    <t>DVT</t>
  </si>
  <si>
    <r>
      <rPr>
        <sz val="9"/>
        <rFont val="Arial"/>
        <family val="2"/>
      </rPr>
      <t>Design Validation Test (</t>
    </r>
    <r>
      <rPr>
        <sz val="9"/>
        <rFont val="Noto Sans CJK SC"/>
        <family val="2"/>
      </rPr>
      <t>디자인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품질 검증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</si>
  <si>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개발 </t>
    </r>
    <r>
      <rPr>
        <sz val="9"/>
        <rFont val="Arial"/>
        <family val="2"/>
      </rPr>
      <t>2</t>
    </r>
    <r>
      <rPr>
        <sz val="9"/>
        <rFont val="Noto Sans CJK SC"/>
        <family val="2"/>
      </rPr>
      <t>단계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설계대로 품질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내구성이 나오는지 시험</t>
    </r>
  </si>
  <si>
    <t>PVT</t>
  </si>
  <si>
    <r>
      <rPr>
        <sz val="9"/>
        <rFont val="Arial"/>
        <family val="2"/>
      </rPr>
      <t>Production Validation Test (</t>
    </r>
    <r>
      <rPr>
        <sz val="9"/>
        <rFont val="Noto Sans CJK SC"/>
        <family val="2"/>
      </rPr>
      <t>양산 검증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</si>
  <si>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개발 </t>
    </r>
    <r>
      <rPr>
        <sz val="9"/>
        <rFont val="Arial"/>
        <family val="2"/>
      </rPr>
      <t>3</t>
    </r>
    <r>
      <rPr>
        <sz val="9"/>
        <rFont val="Noto Sans CJK SC"/>
        <family val="2"/>
      </rPr>
      <t>단계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실제 공장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양산 조건으로 소량 생산해 문제 확인</t>
    </r>
  </si>
  <si>
    <t>MP</t>
  </si>
  <si>
    <r>
      <rPr>
        <sz val="9"/>
        <rFont val="Arial"/>
        <family val="2"/>
      </rPr>
      <t>Mass Production (</t>
    </r>
    <r>
      <rPr>
        <sz val="9"/>
        <rFont val="Noto Sans CJK SC"/>
        <family val="2"/>
      </rPr>
      <t>양산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</si>
  <si>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개발 완료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본격 생산</t>
    </r>
  </si>
  <si>
    <t>ECN</t>
  </si>
  <si>
    <r>
      <rPr>
        <sz val="9"/>
        <rFont val="Arial"/>
        <family val="2"/>
      </rPr>
      <t>Engineering Change Notice (</t>
    </r>
    <r>
      <rPr>
        <sz val="9"/>
        <rFont val="Noto Sans CJK SC"/>
        <family val="2"/>
      </rPr>
      <t>설계변경 통지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</si>
  <si>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무엇을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언제 바꿨나</t>
    </r>
    <r>
      <rPr>
        <sz val="9"/>
        <rFont val="Arial"/>
        <family val="2"/>
      </rPr>
      <t>'</t>
    </r>
    <r>
      <rPr>
        <sz val="9"/>
        <rFont val="Noto Sans CJK SC"/>
        <family val="2"/>
      </rPr>
      <t>의 기록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사양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제조사</t>
    </r>
    <r>
      <rPr>
        <sz val="9"/>
        <rFont val="Arial"/>
        <family val="2"/>
      </rPr>
      <t xml:space="preserve">·SW </t>
    </r>
    <r>
      <rPr>
        <sz val="9"/>
        <rFont val="Noto Sans CJK SC"/>
        <family val="2"/>
      </rPr>
      <t>버전 변경 포함</t>
    </r>
  </si>
  <si>
    <t>Rev.</t>
  </si>
  <si>
    <r>
      <rPr>
        <sz val="9"/>
        <rFont val="Arial"/>
        <family val="2"/>
      </rPr>
      <t>Revision (</t>
    </r>
    <r>
      <rPr>
        <sz val="9"/>
        <rFont val="Noto Sans CJK SC"/>
        <family val="2"/>
      </rPr>
      <t>리비전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</si>
  <si>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같은 부품의 버전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사양이 바뀌면 </t>
    </r>
    <r>
      <rPr>
        <sz val="9"/>
        <rFont val="Arial"/>
        <family val="2"/>
      </rPr>
      <t>A→B</t>
    </r>
    <r>
      <rPr>
        <sz val="9"/>
        <rFont val="Noto Sans CJK SC"/>
        <family val="2"/>
      </rPr>
      <t>로 올림</t>
    </r>
  </si>
  <si>
    <t>PM</t>
  </si>
  <si>
    <r>
      <rPr>
        <sz val="9"/>
        <rFont val="Arial"/>
        <family val="2"/>
      </rPr>
      <t>Product Manager (</t>
    </r>
    <r>
      <rPr>
        <sz val="9"/>
        <rFont val="Noto Sans CJK SC"/>
        <family val="2"/>
      </rPr>
      <t>상품 담당자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</si>
  <si>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상품 하나의 개발 일정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구성 전체를 책임지는 사람</t>
    </r>
  </si>
  <si>
    <t>PK / FK</t>
  </si>
  <si>
    <r>
      <rPr>
        <sz val="9"/>
        <rFont val="Arial"/>
        <family val="2"/>
      </rPr>
      <t>Primary Key / Foreign Key (</t>
    </r>
    <r>
      <rPr>
        <sz val="9"/>
        <rFont val="Noto Sans CJK SC"/>
        <family val="2"/>
      </rPr>
      <t xml:space="preserve">기본키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외래키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</si>
  <si>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 xml:space="preserve">DB </t>
    </r>
    <r>
      <rPr>
        <sz val="9"/>
        <rFont val="Noto Sans CJK SC"/>
        <family val="2"/>
      </rPr>
      <t>용어</t>
    </r>
    <r>
      <rPr>
        <sz val="9"/>
        <rFont val="Arial"/>
        <family val="2"/>
      </rPr>
      <t>. PK=</t>
    </r>
    <r>
      <rPr>
        <sz val="9"/>
        <rFont val="Noto Sans CJK SC"/>
        <family val="2"/>
      </rPr>
      <t>행을 구분하는 고유 코드</t>
    </r>
    <r>
      <rPr>
        <sz val="9"/>
        <rFont val="Arial"/>
        <family val="2"/>
      </rPr>
      <t>, FK=</t>
    </r>
    <r>
      <rPr>
        <sz val="9"/>
        <rFont val="Noto Sans CJK SC"/>
        <family val="2"/>
      </rPr>
      <t>다른 표의 코드를 참조하는 열</t>
    </r>
  </si>
  <si>
    <t>IoT</t>
  </si>
  <si>
    <r>
      <rPr>
        <sz val="9"/>
        <rFont val="Arial"/>
        <family val="2"/>
      </rPr>
      <t>Internet of Things (</t>
    </r>
    <r>
      <rPr>
        <sz val="9"/>
        <rFont val="Noto Sans CJK SC"/>
        <family val="2"/>
      </rPr>
      <t>사물인터넷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</si>
  <si>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컨트롤러를 앱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서버와 연결하는 통신 모듈</t>
    </r>
    <r>
      <rPr>
        <sz val="9"/>
        <rFont val="Arial"/>
        <family val="2"/>
      </rPr>
      <t>(IoT Stick)</t>
    </r>
  </si>
  <si>
    <r>
      <rPr>
        <b/>
        <sz val="11"/>
        <color rgb="FFFFFFFF"/>
        <rFont val="Arial"/>
        <family val="2"/>
      </rPr>
      <t xml:space="preserve">2. </t>
    </r>
    <r>
      <rPr>
        <b/>
        <sz val="11"/>
        <color rgb="FFFFFFFF"/>
        <rFont val="Noto Sans CJK SC"/>
        <family val="2"/>
      </rPr>
      <t>시트 구조</t>
    </r>
  </si>
  <si>
    <t>그룹</t>
  </si>
  <si>
    <t>시트</t>
  </si>
  <si>
    <t>설명</t>
  </si>
  <si>
    <t>마스터</t>
  </si>
  <si>
    <r>
      <rPr>
        <sz val="9"/>
        <rFont val="Noto Sans CJK SC"/>
        <family val="2"/>
      </rPr>
      <t xml:space="preserve">상품마스터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 xml:space="preserve">품목마스터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 xml:space="preserve">협력사마스터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담당자마스터</t>
    </r>
  </si>
  <si>
    <r>
      <rPr>
        <sz val="9"/>
        <rFont val="Noto Sans CJK SC"/>
        <family val="2"/>
      </rPr>
      <t xml:space="preserve">각 코드가 </t>
    </r>
    <r>
      <rPr>
        <sz val="9"/>
        <rFont val="Arial"/>
        <family val="2"/>
      </rPr>
      <t xml:space="preserve">PK(Primary Key, </t>
    </r>
    <r>
      <rPr>
        <sz val="9"/>
        <rFont val="Noto Sans CJK SC"/>
        <family val="2"/>
      </rPr>
      <t>기본키</t>
    </r>
    <r>
      <rPr>
        <sz val="9"/>
        <rFont val="Arial"/>
        <family val="2"/>
      </rPr>
      <t xml:space="preserve">). </t>
    </r>
    <r>
      <rPr>
        <sz val="9"/>
        <rFont val="Noto Sans CJK SC"/>
        <family val="2"/>
      </rPr>
      <t>이름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속성은 여기서만 정의하고 다른 시트는 코드로 참조합니다</t>
    </r>
    <r>
      <rPr>
        <sz val="9"/>
        <rFont val="Arial"/>
        <family val="2"/>
      </rPr>
      <t>.</t>
    </r>
  </si>
  <si>
    <t>관계</t>
  </si>
  <si>
    <t>BOM(Bill of Materials) / AVL(Approved Vendor List)</t>
  </si>
  <si>
    <r>
      <rPr>
        <sz val="9"/>
        <rFont val="Noto Sans CJK SC"/>
        <family val="2"/>
      </rPr>
      <t>상품↔부품 구성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부품↔협력사↔사내담당자 매핑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코드만 입력하면 이름은 수식으로 자동 표시됩니다</t>
    </r>
    <r>
      <rPr>
        <sz val="9"/>
        <rFont val="Arial"/>
        <family val="2"/>
      </rPr>
      <t>.</t>
    </r>
  </si>
  <si>
    <t>현황</t>
  </si>
  <si>
    <r>
      <rPr>
        <sz val="9"/>
        <rFont val="Arial"/>
        <family val="2"/>
      </rPr>
      <t>NPI(New Product Introduction)</t>
    </r>
    <r>
      <rPr>
        <sz val="9"/>
        <rFont val="Noto Sans CJK SC"/>
        <family val="2"/>
      </rPr>
      <t xml:space="preserve">진행현황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상품별완성률</t>
    </r>
  </si>
  <si>
    <r>
      <rPr>
        <sz val="9"/>
        <rFont val="Noto Sans CJK SC"/>
        <family val="2"/>
      </rPr>
      <t>부품별 단계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완료율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이슈 입력 → 상품별완성률은 자동 집계</t>
    </r>
    <r>
      <rPr>
        <sz val="9"/>
        <rFont val="Arial"/>
        <family val="2"/>
      </rPr>
      <t>(</t>
    </r>
    <r>
      <rPr>
        <sz val="9"/>
        <rFont val="Noto Sans CJK SC"/>
        <family val="2"/>
      </rPr>
      <t>입력 없음</t>
    </r>
    <r>
      <rPr>
        <sz val="9"/>
        <rFont val="Arial"/>
        <family val="2"/>
      </rPr>
      <t>).</t>
    </r>
  </si>
  <si>
    <t>이력</t>
  </si>
  <si>
    <r>
      <rPr>
        <sz val="9"/>
        <rFont val="Arial"/>
        <family val="2"/>
      </rPr>
      <t>ECN(Engineering Change Notice)</t>
    </r>
    <r>
      <rPr>
        <sz val="9"/>
        <rFont val="Noto Sans CJK SC"/>
        <family val="2"/>
      </rPr>
      <t>변경이력</t>
    </r>
  </si>
  <si>
    <r>
      <rPr>
        <sz val="9"/>
        <rFont val="Noto Sans CJK SC"/>
        <family val="2"/>
      </rPr>
      <t>사양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제조사</t>
    </r>
    <r>
      <rPr>
        <sz val="9"/>
        <rFont val="Arial"/>
        <family val="2"/>
      </rPr>
      <t xml:space="preserve">·SW </t>
    </r>
    <r>
      <rPr>
        <sz val="9"/>
        <rFont val="Noto Sans CJK SC"/>
        <family val="2"/>
      </rPr>
      <t>버전 변경 기록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승인 시 품목마스터의 리비전도 함께 올립니다</t>
    </r>
    <r>
      <rPr>
        <sz val="9"/>
        <rFont val="Arial"/>
        <family val="2"/>
      </rPr>
      <t>.</t>
    </r>
  </si>
  <si>
    <t>참조</t>
  </si>
  <si>
    <t>코드표</t>
  </si>
  <si>
    <r>
      <rPr>
        <sz val="9"/>
        <rFont val="Noto Sans CJK SC"/>
        <family val="2"/>
      </rPr>
      <t>드롭다운 목록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값을 추가하려면 해당 열 아래에 이어서 입력합니다</t>
    </r>
    <r>
      <rPr>
        <sz val="9"/>
        <rFont val="Arial"/>
        <family val="2"/>
      </rPr>
      <t>.</t>
    </r>
  </si>
  <si>
    <t>셀 색상 범례</t>
  </si>
  <si>
    <t>연노랑</t>
  </si>
  <si>
    <t>직접 입력하는 셀</t>
  </si>
  <si>
    <t>연파랑</t>
  </si>
  <si>
    <r>
      <rPr>
        <sz val="10"/>
        <rFont val="Arial"/>
        <family val="2"/>
      </rPr>
      <t>PK(</t>
    </r>
    <r>
      <rPr>
        <sz val="10"/>
        <rFont val="Noto Sans CJK SC"/>
        <family val="2"/>
      </rPr>
      <t>기본키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코드 셀 — 반드시 마스터에 먼저 등록된 코드를 사용</t>
    </r>
  </si>
  <si>
    <t>회색</t>
  </si>
  <si>
    <r>
      <rPr>
        <sz val="10"/>
        <rFont val="Noto Sans CJK SC"/>
        <family val="2"/>
      </rPr>
      <t>수식 셀 — 수정 금지</t>
    </r>
    <r>
      <rPr>
        <sz val="10"/>
        <rFont val="Arial"/>
        <family val="2"/>
      </rPr>
      <t>. '※</t>
    </r>
    <r>
      <rPr>
        <sz val="10"/>
        <rFont val="Noto Sans CJK SC"/>
        <family val="2"/>
      </rPr>
      <t>미등록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표시되면 해당 코드가 마스터에 없다는 뜻</t>
    </r>
  </si>
  <si>
    <t>품번 체계</t>
  </si>
  <si>
    <t>CV-###</t>
  </si>
  <si>
    <r>
      <rPr>
        <sz val="10"/>
        <rFont val="Noto Sans CJK SC"/>
        <family val="2"/>
      </rPr>
      <t xml:space="preserve">커버 </t>
    </r>
    <r>
      <rPr>
        <sz val="10"/>
        <rFont val="Arial"/>
        <family val="2"/>
      </rPr>
      <t>(000=</t>
    </r>
    <r>
      <rPr>
        <sz val="10"/>
        <rFont val="Noto Sans CJK SC"/>
        <family val="2"/>
      </rPr>
      <t>어셈블리</t>
    </r>
    <r>
      <rPr>
        <sz val="10"/>
        <rFont val="Arial"/>
        <family val="2"/>
      </rPr>
      <t>, 001~=</t>
    </r>
    <r>
      <rPr>
        <sz val="10"/>
        <rFont val="Noto Sans CJK SC"/>
        <family val="2"/>
      </rPr>
      <t>커버</t>
    </r>
    <r>
      <rPr>
        <sz val="10"/>
        <rFont val="Arial"/>
        <family val="2"/>
      </rPr>
      <t>, 010~=</t>
    </r>
    <r>
      <rPr>
        <sz val="10"/>
        <rFont val="Noto Sans CJK SC"/>
        <family val="2"/>
      </rPr>
      <t>폼</t>
    </r>
    <r>
      <rPr>
        <sz val="10"/>
        <rFont val="Arial"/>
        <family val="2"/>
      </rPr>
      <t>, 020~=</t>
    </r>
    <r>
      <rPr>
        <sz val="10"/>
        <rFont val="Noto Sans CJK SC"/>
        <family val="2"/>
      </rPr>
      <t>라벨</t>
    </r>
    <r>
      <rPr>
        <sz val="10"/>
        <rFont val="Arial"/>
        <family val="2"/>
      </rPr>
      <t>)</t>
    </r>
  </si>
  <si>
    <t>CT-###</t>
  </si>
  <si>
    <r>
      <rPr>
        <sz val="10"/>
        <rFont val="Noto Sans CJK SC"/>
        <family val="2"/>
      </rPr>
      <t xml:space="preserve">컨트롤러 </t>
    </r>
    <r>
      <rPr>
        <sz val="10"/>
        <rFont val="Arial"/>
        <family val="2"/>
      </rPr>
      <t>(000=</t>
    </r>
    <r>
      <rPr>
        <sz val="10"/>
        <rFont val="Noto Sans CJK SC"/>
        <family val="2"/>
      </rPr>
      <t>어셈블리</t>
    </r>
    <r>
      <rPr>
        <sz val="10"/>
        <rFont val="Arial"/>
        <family val="2"/>
      </rPr>
      <t>, 001=</t>
    </r>
    <r>
      <rPr>
        <sz val="10"/>
        <rFont val="Noto Sans CJK SC"/>
        <family val="2"/>
      </rPr>
      <t>본체 아세이</t>
    </r>
    <r>
      <rPr>
        <sz val="10"/>
        <rFont val="Arial"/>
        <family val="2"/>
      </rPr>
      <t>, 002~=</t>
    </r>
    <r>
      <rPr>
        <sz val="10"/>
        <rFont val="Noto Sans CJK SC"/>
        <family val="2"/>
      </rPr>
      <t>부속품</t>
    </r>
    <r>
      <rPr>
        <sz val="10"/>
        <rFont val="Arial"/>
        <family val="2"/>
      </rPr>
      <t>)</t>
    </r>
  </si>
  <si>
    <t>PK-###</t>
  </si>
  <si>
    <r>
      <rPr>
        <sz val="10"/>
        <rFont val="Noto Sans CJK SC"/>
        <family val="2"/>
      </rPr>
      <t xml:space="preserve">포장 </t>
    </r>
    <r>
      <rPr>
        <sz val="10"/>
        <rFont val="Arial"/>
        <family val="2"/>
      </rPr>
      <t>(000=</t>
    </r>
    <r>
      <rPr>
        <sz val="10"/>
        <rFont val="Noto Sans CJK SC"/>
        <family val="2"/>
      </rPr>
      <t>어셈블리</t>
    </r>
    <r>
      <rPr>
        <sz val="10"/>
        <rFont val="Arial"/>
        <family val="2"/>
      </rPr>
      <t>, 001~003=</t>
    </r>
    <r>
      <rPr>
        <sz val="10"/>
        <rFont val="Noto Sans CJK SC"/>
        <family val="2"/>
      </rPr>
      <t>포장방식 사양</t>
    </r>
    <r>
      <rPr>
        <sz val="10"/>
        <rFont val="Arial"/>
        <family val="2"/>
      </rPr>
      <t>, 010~=</t>
    </r>
    <r>
      <rPr>
        <sz val="10"/>
        <rFont val="Noto Sans CJK SC"/>
        <family val="2"/>
      </rPr>
      <t>포장재</t>
    </r>
    <r>
      <rPr>
        <sz val="10"/>
        <rFont val="Arial"/>
        <family val="2"/>
      </rPr>
      <t xml:space="preserve">)  ※ </t>
    </r>
    <r>
      <rPr>
        <sz val="10"/>
        <rFont val="Noto Sans CJK SC"/>
        <family val="2"/>
      </rPr>
      <t xml:space="preserve">여기서 </t>
    </r>
    <r>
      <rPr>
        <sz val="10"/>
        <rFont val="Arial"/>
        <family val="2"/>
      </rPr>
      <t>PK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</rPr>
      <t>Packaging</t>
    </r>
    <r>
      <rPr>
        <sz val="10"/>
        <rFont val="Noto Sans CJK SC"/>
        <family val="2"/>
      </rPr>
      <t>의 약자입니다</t>
    </r>
  </si>
  <si>
    <t>SW-###</t>
  </si>
  <si>
    <r>
      <rPr>
        <sz val="10"/>
        <rFont val="Arial"/>
        <family val="2"/>
      </rPr>
      <t>APP/</t>
    </r>
    <r>
      <rPr>
        <sz val="10"/>
        <rFont val="Noto Sans CJK SC"/>
        <family val="2"/>
      </rPr>
      <t xml:space="preserve">서버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버전은 리비전 열에 기록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리전은 별도 품번</t>
    </r>
    <r>
      <rPr>
        <sz val="10"/>
        <rFont val="Arial"/>
        <family val="2"/>
      </rPr>
      <t>)</t>
    </r>
  </si>
  <si>
    <t>규칙</t>
  </si>
  <si>
    <r>
      <rPr>
        <sz val="10"/>
        <rFont val="Noto Sans CJK SC"/>
        <family val="2"/>
      </rPr>
      <t>같은 부품이면 상품이 달라도 같은 품번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사양이 바뀌면 </t>
    </r>
    <r>
      <rPr>
        <sz val="10"/>
        <rFont val="Arial"/>
        <family val="2"/>
      </rPr>
      <t>Rev.(</t>
    </r>
    <r>
      <rPr>
        <sz val="10"/>
        <rFont val="Noto Sans CJK SC"/>
        <family val="2"/>
      </rPr>
      <t>리비전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업 </t>
    </r>
    <r>
      <rPr>
        <sz val="10"/>
        <rFont val="Arial"/>
        <family val="2"/>
      </rPr>
      <t xml:space="preserve">+ ECN </t>
    </r>
    <r>
      <rPr>
        <sz val="10"/>
        <rFont val="Noto Sans CJK SC"/>
        <family val="2"/>
      </rPr>
      <t>기록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완전히 다른 부품이면 새 품번 발급</t>
    </r>
    <r>
      <rPr>
        <sz val="10"/>
        <rFont val="Arial"/>
        <family val="2"/>
      </rPr>
      <t>.</t>
    </r>
  </si>
  <si>
    <r>
      <rPr>
        <b/>
        <sz val="11"/>
        <color rgb="FFFFFFFF"/>
        <rFont val="Arial"/>
        <family val="2"/>
      </rPr>
      <t xml:space="preserve">3. </t>
    </r>
    <r>
      <rPr>
        <b/>
        <sz val="11"/>
        <color rgb="FFFFFFFF"/>
        <rFont val="Noto Sans CJK SC"/>
        <family val="2"/>
      </rPr>
      <t xml:space="preserve">시트별 용도와 역할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 xml:space="preserve">입력자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 xml:space="preserve">관리자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조회자</t>
    </r>
    <r>
      <rPr>
        <b/>
        <sz val="11"/>
        <color rgb="FFFFFFFF"/>
        <rFont val="Arial"/>
        <family val="2"/>
      </rPr>
      <t>)</t>
    </r>
  </si>
  <si>
    <r>
      <rPr>
        <sz val="10"/>
        <rFont val="Noto Sans CJK SC"/>
        <family val="2"/>
      </rPr>
      <t>역할은 세 가지로 나눕니다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입력자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데이터를 넣는 사람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관리자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오너</t>
    </r>
    <r>
      <rPr>
        <sz val="10"/>
        <rFont val="Arial"/>
        <family val="2"/>
      </rPr>
      <t xml:space="preserve">) = </t>
    </r>
    <r>
      <rPr>
        <sz val="10"/>
        <rFont val="Noto Sans CJK SC"/>
        <family val="2"/>
      </rPr>
      <t>구조와 코드 체계를 지키게 하는 책임자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조회자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보기만 하는 사람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작은 조직에서는 한 사람이 여러 역할을 겸해도 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 표는 나중에 내부 툴을 만들 때 그대로 권한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역할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설계가 됩니다</t>
    </r>
    <r>
      <rPr>
        <sz val="10"/>
        <rFont val="Arial"/>
        <family val="2"/>
      </rPr>
      <t>.</t>
    </r>
  </si>
  <si>
    <t>한 줄 용도</t>
  </si>
  <si>
    <t>입력자</t>
  </si>
  <si>
    <r>
      <rPr>
        <b/>
        <sz val="9"/>
        <rFont val="Noto Sans CJK SC"/>
        <family val="2"/>
      </rPr>
      <t>관리자</t>
    </r>
    <r>
      <rPr>
        <b/>
        <sz val="9"/>
        <rFont val="Arial"/>
        <family val="2"/>
      </rPr>
      <t>(</t>
    </r>
    <r>
      <rPr>
        <b/>
        <sz val="9"/>
        <rFont val="Noto Sans CJK SC"/>
        <family val="2"/>
      </rPr>
      <t>오너</t>
    </r>
    <r>
      <rPr>
        <b/>
        <sz val="9"/>
        <rFont val="Arial"/>
        <family val="2"/>
      </rPr>
      <t>)</t>
    </r>
  </si>
  <si>
    <t>주요 조회자</t>
  </si>
  <si>
    <t>상품마스터</t>
  </si>
  <si>
    <t>우리가 만드는 상품 목록</t>
  </si>
  <si>
    <r>
      <rPr>
        <sz val="9"/>
        <rFont val="Noto Sans CJK SC"/>
        <family val="2"/>
      </rPr>
      <t xml:space="preserve">상품기획 </t>
    </r>
    <r>
      <rPr>
        <sz val="9"/>
        <rFont val="Arial"/>
        <family val="2"/>
      </rPr>
      <t>/ PM</t>
    </r>
  </si>
  <si>
    <t>전원</t>
  </si>
  <si>
    <t>품목마스터</t>
  </si>
  <si>
    <r>
      <rPr>
        <sz val="9"/>
        <rFont val="Noto Sans CJK SC"/>
        <family val="2"/>
      </rPr>
      <t>모든 부품의 사전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품번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사양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리비전</t>
    </r>
  </si>
  <si>
    <t>각 부품 담당 개발자</t>
  </si>
  <si>
    <r>
      <rPr>
        <sz val="9"/>
        <rFont val="Noto Sans CJK SC"/>
        <family val="2"/>
      </rPr>
      <t xml:space="preserve">품번 관리자 </t>
    </r>
    <r>
      <rPr>
        <sz val="9"/>
        <rFont val="Arial"/>
        <family val="2"/>
      </rPr>
      <t>1</t>
    </r>
    <r>
      <rPr>
        <sz val="9"/>
        <rFont val="Noto Sans CJK SC"/>
        <family val="2"/>
      </rPr>
      <t xml:space="preserve">명 </t>
    </r>
    <r>
      <rPr>
        <sz val="9"/>
        <rFont val="Arial"/>
        <family val="2"/>
      </rPr>
      <t>(</t>
    </r>
    <r>
      <rPr>
        <sz val="9"/>
        <rFont val="Noto Sans CJK SC"/>
        <family val="2"/>
      </rPr>
      <t>개발팀장 또는 구매</t>
    </r>
    <r>
      <rPr>
        <sz val="9"/>
        <rFont val="Arial"/>
        <family val="2"/>
      </rPr>
      <t>)</t>
    </r>
  </si>
  <si>
    <t>상품별로 어떤 부품이 몇 개 들어가는지</t>
  </si>
  <si>
    <r>
      <rPr>
        <sz val="9"/>
        <rFont val="Noto Sans CJK SC"/>
        <family val="2"/>
      </rPr>
      <t xml:space="preserve">상품 담당 개발자 </t>
    </r>
    <r>
      <rPr>
        <sz val="9"/>
        <rFont val="Arial"/>
        <family val="2"/>
      </rPr>
      <t>/ PM</t>
    </r>
  </si>
  <si>
    <r>
      <rPr>
        <sz val="9"/>
        <rFont val="Noto Sans CJK SC"/>
        <family val="2"/>
      </rPr>
      <t>구매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생산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품질</t>
    </r>
  </si>
  <si>
    <t>협력사마스터</t>
  </si>
  <si>
    <r>
      <rPr>
        <sz val="9"/>
        <rFont val="Noto Sans CJK SC"/>
        <family val="2"/>
      </rPr>
      <t>거래 제조사 목록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연락처</t>
    </r>
  </si>
  <si>
    <t>구매</t>
  </si>
  <si>
    <r>
      <rPr>
        <sz val="9"/>
        <rFont val="Noto Sans CJK SC"/>
        <family val="2"/>
      </rPr>
      <t>개발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품질</t>
    </r>
  </si>
  <si>
    <t>담당자마스터</t>
  </si>
  <si>
    <t>사내 담당자 목록</t>
  </si>
  <si>
    <t>관리팀</t>
  </si>
  <si>
    <r>
      <rPr>
        <sz val="9"/>
        <rFont val="Arial"/>
        <family val="2"/>
      </rPr>
      <t xml:space="preserve">PM </t>
    </r>
    <r>
      <rPr>
        <sz val="9"/>
        <rFont val="Noto Sans CJK SC"/>
        <family val="2"/>
      </rPr>
      <t>또는 관리팀</t>
    </r>
  </si>
  <si>
    <r>
      <rPr>
        <sz val="9"/>
        <rFont val="Noto Sans CJK SC"/>
        <family val="2"/>
      </rPr>
      <t>부품↔제조사↔사내담당자 매핑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승인 여부</t>
    </r>
  </si>
  <si>
    <r>
      <rPr>
        <sz val="9"/>
        <rFont val="Noto Sans CJK SC"/>
        <family val="2"/>
      </rPr>
      <t xml:space="preserve">구매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승인상태는 품질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개발과 협의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</si>
  <si>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개발</t>
    </r>
    <r>
      <rPr>
        <sz val="9"/>
        <rFont val="Arial"/>
        <family val="2"/>
      </rPr>
      <t xml:space="preserve">, PM, </t>
    </r>
    <r>
      <rPr>
        <sz val="9"/>
        <rFont val="Noto Sans CJK SC"/>
        <family val="2"/>
      </rPr>
      <t>생산</t>
    </r>
  </si>
  <si>
    <r>
      <rPr>
        <sz val="9"/>
        <rFont val="Arial"/>
        <family val="2"/>
      </rPr>
      <t>NPI</t>
    </r>
    <r>
      <rPr>
        <sz val="9"/>
        <rFont val="Noto Sans CJK SC"/>
        <family val="2"/>
      </rPr>
      <t>진행현황</t>
    </r>
  </si>
  <si>
    <r>
      <rPr>
        <sz val="9"/>
        <rFont val="Noto Sans CJK SC"/>
        <family val="2"/>
      </rPr>
      <t>부품별 개발 단계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완료율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이슈</t>
    </r>
  </si>
  <si>
    <t>각 부품 담당자가 매주 본인 행 갱신</t>
  </si>
  <si>
    <r>
      <rPr>
        <sz val="9"/>
        <rFont val="Noto Sans CJK SC"/>
        <family val="2"/>
      </rPr>
      <t>경영진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전 팀</t>
    </r>
  </si>
  <si>
    <t>상품별완성률</t>
  </si>
  <si>
    <r>
      <rPr>
        <sz val="9"/>
        <rFont val="Noto Sans CJK SC"/>
        <family val="2"/>
      </rPr>
      <t xml:space="preserve">자동 집계 대시보드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입력 없음</t>
    </r>
    <r>
      <rPr>
        <sz val="9"/>
        <rFont val="Arial"/>
        <family val="2"/>
      </rPr>
      <t>)</t>
    </r>
  </si>
  <si>
    <t>-</t>
  </si>
  <si>
    <r>
      <rPr>
        <sz val="9"/>
        <rFont val="Noto Sans CJK SC"/>
        <family val="2"/>
      </rPr>
      <t>경영진</t>
    </r>
    <r>
      <rPr>
        <sz val="9"/>
        <rFont val="Arial"/>
        <family val="2"/>
      </rPr>
      <t>, PM (</t>
    </r>
    <r>
      <rPr>
        <sz val="9"/>
        <rFont val="Noto Sans CJK SC"/>
        <family val="2"/>
      </rPr>
      <t>주간회의용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</si>
  <si>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ECN</t>
    </r>
    <r>
      <rPr>
        <sz val="9"/>
        <rFont val="Noto Sans CJK SC"/>
        <family val="2"/>
      </rPr>
      <t>변경이력</t>
    </r>
  </si>
  <si>
    <r>
      <rPr>
        <sz val="9"/>
        <rFont val="Noto Sans CJK SC"/>
        <family val="2"/>
      </rPr>
      <t>사양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제조사</t>
    </r>
    <r>
      <rPr>
        <sz val="9"/>
        <rFont val="Arial"/>
        <family val="2"/>
      </rPr>
      <t>·SW</t>
    </r>
    <r>
      <rPr>
        <sz val="9"/>
        <rFont val="Noto Sans CJK SC"/>
        <family val="2"/>
      </rPr>
      <t>버전 변경 기록</t>
    </r>
  </si>
  <si>
    <t>변경을 요청한 담당자</t>
  </si>
  <si>
    <r>
      <rPr>
        <sz val="9"/>
        <rFont val="Arial"/>
        <family val="2"/>
      </rPr>
      <t xml:space="preserve">PM </t>
    </r>
    <r>
      <rPr>
        <sz val="9"/>
        <rFont val="Noto Sans CJK SC"/>
        <family val="2"/>
      </rPr>
      <t xml:space="preserve">또는 품질 </t>
    </r>
    <r>
      <rPr>
        <sz val="9"/>
        <rFont val="Arial"/>
        <family val="2"/>
      </rPr>
      <t>(</t>
    </r>
    <r>
      <rPr>
        <sz val="9"/>
        <rFont val="Noto Sans CJK SC"/>
        <family val="2"/>
      </rPr>
      <t>승인자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</si>
  <si>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>구매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생산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협력사</t>
    </r>
  </si>
  <si>
    <t>드롭다운 값 정의</t>
  </si>
  <si>
    <t>품번 관리자</t>
  </si>
  <si>
    <r>
      <rPr>
        <b/>
        <sz val="11"/>
        <color rgb="FFFFFFFF"/>
        <rFont val="Arial"/>
        <family val="2"/>
      </rPr>
      <t xml:space="preserve">4. </t>
    </r>
    <r>
      <rPr>
        <b/>
        <sz val="11"/>
        <color rgb="FFFFFFFF"/>
        <rFont val="Noto Sans CJK SC"/>
        <family val="2"/>
      </rPr>
      <t>실제 운영 흐름</t>
    </r>
  </si>
  <si>
    <r>
      <rPr>
        <sz val="10"/>
        <rFont val="Noto Sans CJK SC"/>
        <family val="2"/>
      </rPr>
      <t>아래 도면은 왼쪽에서 오른쪽으로 읽습니다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각 박스는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역할 → 사용 시트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입니다</t>
    </r>
    <r>
      <rPr>
        <sz val="10"/>
        <rFont val="Arial"/>
        <family val="2"/>
      </rPr>
      <t>. ④</t>
    </r>
    <r>
      <rPr>
        <sz val="10"/>
        <rFont val="Noto Sans CJK SC"/>
        <family val="2"/>
      </rPr>
      <t>에서 변경이 승인되면 ①의 품목마스터로 돌아가 리비전을 올립니다</t>
    </r>
    <r>
      <rPr>
        <sz val="10"/>
        <rFont val="Arial"/>
        <family val="2"/>
      </rPr>
      <t>.</t>
    </r>
  </si>
  <si>
    <t>① 기준정보 세팅</t>
  </si>
  <si>
    <t>② 상품 시작</t>
  </si>
  <si>
    <t>③ 매주 반복</t>
  </si>
  <si>
    <t>④ 변경 발생 시</t>
  </si>
  <si>
    <r>
      <rPr>
        <i/>
        <sz val="8"/>
        <color rgb="FF595959"/>
        <rFont val="Noto Sans CJK SC"/>
        <family val="2"/>
      </rPr>
      <t xml:space="preserve">최초 </t>
    </r>
    <r>
      <rPr>
        <i/>
        <sz val="8"/>
        <color rgb="FF595959"/>
        <rFont val="Arial"/>
        <family val="2"/>
      </rPr>
      <t>1</t>
    </r>
    <r>
      <rPr>
        <i/>
        <sz val="8"/>
        <color rgb="FF595959"/>
        <rFont val="Noto Sans CJK SC"/>
        <family val="2"/>
      </rPr>
      <t xml:space="preserve">회 </t>
    </r>
    <r>
      <rPr>
        <i/>
        <sz val="8"/>
        <color rgb="FF595959"/>
        <rFont val="Arial"/>
        <family val="2"/>
      </rPr>
      <t xml:space="preserve">· </t>
    </r>
    <r>
      <rPr>
        <i/>
        <sz val="8"/>
        <color rgb="FF595959"/>
        <rFont val="Noto Sans CJK SC"/>
        <family val="2"/>
      </rPr>
      <t>이후 신규 부품 발생 시</t>
    </r>
  </si>
  <si>
    <t>상품 개발 착수 시</t>
  </si>
  <si>
    <t>주간 운영</t>
  </si>
  <si>
    <r>
      <rPr>
        <i/>
        <sz val="8"/>
        <color rgb="FF595959"/>
        <rFont val="Noto Sans CJK SC"/>
        <family val="2"/>
      </rPr>
      <t xml:space="preserve">사양 </t>
    </r>
    <r>
      <rPr>
        <i/>
        <sz val="8"/>
        <color rgb="FF595959"/>
        <rFont val="Arial"/>
        <family val="2"/>
      </rPr>
      <t xml:space="preserve">· </t>
    </r>
    <r>
      <rPr>
        <i/>
        <sz val="8"/>
        <color rgb="FF595959"/>
        <rFont val="Noto Sans CJK SC"/>
        <family val="2"/>
      </rPr>
      <t xml:space="preserve">제조사 </t>
    </r>
    <r>
      <rPr>
        <i/>
        <sz val="8"/>
        <color rgb="FF595959"/>
        <rFont val="Arial"/>
        <family val="2"/>
      </rPr>
      <t>· SW</t>
    </r>
    <r>
      <rPr>
        <i/>
        <sz val="8"/>
        <color rgb="FF595959"/>
        <rFont val="Noto Sans CJK SC"/>
        <family val="2"/>
      </rPr>
      <t>버전 변경</t>
    </r>
  </si>
  <si>
    <r>
      <rPr>
        <sz val="9"/>
        <rFont val="Noto Sans CJK SC"/>
        <family val="2"/>
      </rPr>
      <t xml:space="preserve">품번 관리자
→ 코드표 </t>
    </r>
    <r>
      <rPr>
        <sz val="9"/>
        <rFont val="Arial"/>
        <family val="2"/>
      </rPr>
      <t xml:space="preserve">· </t>
    </r>
    <r>
      <rPr>
        <sz val="9"/>
        <rFont val="Noto Sans CJK SC"/>
        <family val="2"/>
      </rPr>
      <t>품목마스터
체계 확정</t>
    </r>
  </si>
  <si>
    <r>
      <rPr>
        <sz val="9"/>
        <rFont val="Arial"/>
        <family val="2"/>
      </rPr>
      <t xml:space="preserve">PM
→ </t>
    </r>
    <r>
      <rPr>
        <sz val="9"/>
        <rFont val="Noto Sans CJK SC"/>
        <family val="2"/>
      </rPr>
      <t>상품마스터 등록</t>
    </r>
  </si>
  <si>
    <r>
      <rPr>
        <sz val="9"/>
        <rFont val="Noto Sans CJK SC"/>
        <family val="2"/>
      </rPr>
      <t xml:space="preserve">부품 담당자
→ </t>
    </r>
    <r>
      <rPr>
        <sz val="9"/>
        <rFont val="Arial"/>
        <family val="2"/>
      </rPr>
      <t>NPI</t>
    </r>
    <r>
      <rPr>
        <sz val="9"/>
        <rFont val="Noto Sans CJK SC"/>
        <family val="2"/>
      </rPr>
      <t>진행현황
자기 행 갱신</t>
    </r>
    <r>
      <rPr>
        <sz val="9"/>
        <rFont val="Arial"/>
        <family val="2"/>
      </rPr>
      <t>(</t>
    </r>
    <r>
      <rPr>
        <sz val="9"/>
        <rFont val="Noto Sans CJK SC"/>
        <family val="2"/>
      </rPr>
      <t>단계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완료율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이슈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</si>
  <si>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담당자
→ </t>
    </r>
    <r>
      <rPr>
        <sz val="9"/>
        <rFont val="Arial"/>
        <family val="2"/>
      </rPr>
      <t>ECN</t>
    </r>
    <r>
      <rPr>
        <sz val="9"/>
        <rFont val="Noto Sans CJK SC"/>
        <family val="2"/>
      </rPr>
      <t>변경이력 작성</t>
    </r>
  </si>
  <si>
    <t>▶</t>
  </si>
  <si>
    <t>▼</t>
  </si>
  <si>
    <t>구매
→ 협력사마스터</t>
  </si>
  <si>
    <r>
      <rPr>
        <sz val="9"/>
        <rFont val="Arial"/>
        <family val="2"/>
      </rPr>
      <t xml:space="preserve">PM + </t>
    </r>
    <r>
      <rPr>
        <sz val="9"/>
        <rFont val="Noto Sans CJK SC"/>
        <family val="2"/>
      </rPr>
      <t xml:space="preserve">개발자
→ </t>
    </r>
    <r>
      <rPr>
        <sz val="9"/>
        <rFont val="Arial"/>
        <family val="2"/>
      </rPr>
      <t xml:space="preserve">BOM </t>
    </r>
    <r>
      <rPr>
        <sz val="9"/>
        <rFont val="Noto Sans CJK SC"/>
        <family val="2"/>
      </rPr>
      <t>작성</t>
    </r>
  </si>
  <si>
    <r>
      <rPr>
        <sz val="9"/>
        <rFont val="Arial"/>
        <family val="2"/>
      </rPr>
      <t xml:space="preserve">PM
→ </t>
    </r>
    <r>
      <rPr>
        <sz val="9"/>
        <rFont val="Noto Sans CJK SC"/>
        <family val="2"/>
      </rPr>
      <t>상품별완성률로
주간회의 진행</t>
    </r>
  </si>
  <si>
    <r>
      <rPr>
        <sz val="9"/>
        <rFont val="Arial"/>
        <family val="2"/>
      </rPr>
      <t xml:space="preserve">PM / </t>
    </r>
    <r>
      <rPr>
        <sz val="9"/>
        <rFont val="Noto Sans CJK SC"/>
        <family val="2"/>
      </rPr>
      <t xml:space="preserve">품질
→ </t>
    </r>
    <r>
      <rPr>
        <sz val="9"/>
        <rFont val="Arial"/>
        <family val="2"/>
      </rPr>
      <t xml:space="preserve">ECN </t>
    </r>
    <r>
      <rPr>
        <sz val="9"/>
        <rFont val="Noto Sans CJK SC"/>
        <family val="2"/>
      </rPr>
      <t>승인</t>
    </r>
  </si>
  <si>
    <t>관리팀
→ 담당자마스터</t>
  </si>
  <si>
    <r>
      <rPr>
        <sz val="9"/>
        <rFont val="Noto Sans CJK SC"/>
        <family val="2"/>
      </rPr>
      <t xml:space="preserve">구매
→ </t>
    </r>
    <r>
      <rPr>
        <sz val="9"/>
        <rFont val="Arial"/>
        <family val="2"/>
      </rPr>
      <t>AVL(</t>
    </r>
    <r>
      <rPr>
        <sz val="9"/>
        <rFont val="Noto Sans CJK SC"/>
        <family val="2"/>
      </rPr>
      <t>제조사</t>
    </r>
    <r>
      <rPr>
        <sz val="9"/>
        <rFont val="Arial"/>
        <family val="2"/>
      </rPr>
      <t>·</t>
    </r>
    <r>
      <rPr>
        <sz val="9"/>
        <rFont val="Noto Sans CJK SC"/>
        <family val="2"/>
      </rPr>
      <t>담당자 매핑</t>
    </r>
    <r>
      <rPr>
        <sz val="9"/>
        <rFont val="Arial"/>
        <family val="2"/>
      </rPr>
      <t>)</t>
    </r>
  </si>
  <si>
    <t>경영진
→ 상품별완성률 조회</t>
  </si>
  <si>
    <r>
      <rPr>
        <sz val="9"/>
        <rFont val="Noto Sans CJK SC"/>
        <family val="2"/>
      </rPr>
      <t xml:space="preserve">품번 관리자
→ 품목마스터 </t>
    </r>
    <r>
      <rPr>
        <sz val="9"/>
        <rFont val="Arial"/>
        <family val="2"/>
      </rPr>
      <t xml:space="preserve">Rev. </t>
    </r>
    <r>
      <rPr>
        <sz val="9"/>
        <rFont val="Noto Sans CJK SC"/>
        <family val="2"/>
      </rPr>
      <t xml:space="preserve">업
</t>
    </r>
    <r>
      <rPr>
        <sz val="9"/>
        <rFont val="Arial"/>
        <family val="2"/>
      </rPr>
      <t>(①</t>
    </r>
    <r>
      <rPr>
        <sz val="9"/>
        <rFont val="Noto Sans CJK SC"/>
        <family val="2"/>
      </rPr>
      <t>로 복귀</t>
    </r>
    <r>
      <rPr>
        <sz val="9"/>
        <rFont val="Arial"/>
        <family val="2"/>
      </rPr>
      <t>)</t>
    </r>
  </si>
  <si>
    <r>
      <rPr>
        <sz val="9"/>
        <rFont val="Noto Sans CJK SC"/>
        <family val="2"/>
      </rPr>
      <t xml:space="preserve">담당자가 새 부품 요청
→ 품번 관리자가 발급
</t>
    </r>
    <r>
      <rPr>
        <sz val="9"/>
        <rFont val="Arial"/>
        <family val="2"/>
      </rPr>
      <t>(</t>
    </r>
    <r>
      <rPr>
        <sz val="9"/>
        <rFont val="Noto Sans CJK SC"/>
        <family val="2"/>
      </rPr>
      <t xml:space="preserve">발급자는 </t>
    </r>
    <r>
      <rPr>
        <sz val="9"/>
        <rFont val="Arial"/>
        <family val="2"/>
      </rPr>
      <t>1</t>
    </r>
    <r>
      <rPr>
        <sz val="9"/>
        <rFont val="Noto Sans CJK SC"/>
        <family val="2"/>
      </rPr>
      <t>명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</si>
  <si>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PM
→ NPI</t>
    </r>
    <r>
      <rPr>
        <sz val="9"/>
        <rFont val="Noto Sans CJK SC"/>
        <family val="2"/>
      </rPr>
      <t>진행현황에
상품</t>
    </r>
    <r>
      <rPr>
        <sz val="9"/>
        <rFont val="Arial"/>
        <family val="2"/>
      </rPr>
      <t>×</t>
    </r>
    <r>
      <rPr>
        <sz val="9"/>
        <rFont val="Noto Sans CJK SC"/>
        <family val="2"/>
      </rPr>
      <t>부품 행 생성</t>
    </r>
  </si>
  <si>
    <t>구매
→ 협력사에 변경 통보</t>
  </si>
  <si>
    <r>
      <rPr>
        <i/>
        <sz val="9"/>
        <color rgb="FFC00000"/>
        <rFont val="Arial"/>
        <family val="2"/>
      </rPr>
      <t xml:space="preserve">◀──────────  ④ ECN </t>
    </r>
    <r>
      <rPr>
        <i/>
        <sz val="9"/>
        <color rgb="FFC00000"/>
        <rFont val="Noto Sans CJK SC"/>
        <family val="2"/>
      </rPr>
      <t xml:space="preserve">승인 → ① 품목마스터 </t>
    </r>
    <r>
      <rPr>
        <i/>
        <sz val="9"/>
        <color rgb="FFC00000"/>
        <rFont val="Arial"/>
        <family val="2"/>
      </rPr>
      <t>Rev.(</t>
    </r>
    <r>
      <rPr>
        <i/>
        <sz val="9"/>
        <color rgb="FFC00000"/>
        <rFont val="Noto Sans CJK SC"/>
        <family val="2"/>
      </rPr>
      <t>리비전</t>
    </r>
    <r>
      <rPr>
        <i/>
        <sz val="9"/>
        <color rgb="FFC00000"/>
        <rFont val="Arial"/>
        <family val="2"/>
      </rPr>
      <t xml:space="preserve">) </t>
    </r>
    <r>
      <rPr>
        <i/>
        <sz val="9"/>
        <color rgb="FFC00000"/>
        <rFont val="Noto Sans CJK SC"/>
        <family val="2"/>
      </rPr>
      <t xml:space="preserve">갱신 </t>
    </r>
    <r>
      <rPr>
        <i/>
        <sz val="9"/>
        <color rgb="FFC00000"/>
        <rFont val="Arial"/>
        <family val="2"/>
      </rPr>
      <t xml:space="preserve">· ② BOM/AVL </t>
    </r>
    <r>
      <rPr>
        <i/>
        <sz val="9"/>
        <color rgb="FFC00000"/>
        <rFont val="Noto Sans CJK SC"/>
        <family val="2"/>
      </rPr>
      <t xml:space="preserve">반영  </t>
    </r>
    <r>
      <rPr>
        <i/>
        <sz val="9"/>
        <color rgb="FFC00000"/>
        <rFont val="Arial"/>
        <family val="2"/>
      </rPr>
      <t>(</t>
    </r>
    <r>
      <rPr>
        <i/>
        <sz val="9"/>
        <color rgb="FFC00000"/>
        <rFont val="Noto Sans CJK SC"/>
        <family val="2"/>
      </rPr>
      <t>변경 사항은 항상 마스터로 되돌아와 반영됩니다</t>
    </r>
    <r>
      <rPr>
        <i/>
        <sz val="9"/>
        <color rgb="FFC00000"/>
        <rFont val="Arial"/>
        <family val="2"/>
      </rPr>
      <t>)  ──────────</t>
    </r>
  </si>
  <si>
    <t>① 기준정보</t>
  </si>
  <si>
    <r>
      <rPr>
        <sz val="10"/>
        <rFont val="Noto Sans CJK SC"/>
        <family val="2"/>
      </rPr>
      <t>품번 관리자가 품목마스터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코드표 체계를 잡고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구매가 협력사마스터를 채웁니다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이후 새 부품이 필요하면 담당자가 요청하고 품번 관리자가 품번을 발급합니다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품번을 아무나 만들면 중복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혼선이 생기므로 발급자는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명이 원칙입니다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</si>
  <si>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PM</t>
    </r>
    <r>
      <rPr>
        <sz val="10"/>
        <rFont val="Noto Sans CJK SC"/>
        <family val="2"/>
      </rPr>
      <t xml:space="preserve">이 상품마스터에 등록하고 개발자와 함께 </t>
    </r>
    <r>
      <rPr>
        <sz val="10"/>
        <rFont val="Arial"/>
        <family val="2"/>
      </rPr>
      <t>BOM</t>
    </r>
    <r>
      <rPr>
        <sz val="10"/>
        <rFont val="Noto Sans CJK SC"/>
        <family val="2"/>
      </rPr>
      <t>을 짭니다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구매가 </t>
    </r>
    <r>
      <rPr>
        <sz val="10"/>
        <rFont val="Arial"/>
        <family val="2"/>
      </rPr>
      <t>BOM</t>
    </r>
    <r>
      <rPr>
        <sz val="10"/>
        <rFont val="Noto Sans CJK SC"/>
        <family val="2"/>
      </rPr>
      <t xml:space="preserve">을 보고 </t>
    </r>
    <r>
      <rPr>
        <sz val="10"/>
        <rFont val="Arial"/>
        <family val="2"/>
      </rPr>
      <t>AVL</t>
    </r>
    <r>
      <rPr>
        <sz val="10"/>
        <rFont val="Noto Sans CJK SC"/>
        <family val="2"/>
      </rPr>
      <t>에 제조사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사내담당자를 붙입니다</t>
    </r>
    <r>
      <rPr>
        <sz val="10"/>
        <rFont val="Arial"/>
        <family val="2"/>
      </rPr>
      <t>. PM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</rPr>
      <t>NPI</t>
    </r>
    <r>
      <rPr>
        <sz val="10"/>
        <rFont val="Noto Sans CJK SC"/>
        <family val="2"/>
      </rPr>
      <t>진행현황에 상품</t>
    </r>
    <r>
      <rPr>
        <sz val="10"/>
        <rFont val="Arial"/>
        <family val="2"/>
      </rPr>
      <t>×</t>
    </r>
    <r>
      <rPr>
        <sz val="10"/>
        <rFont val="Noto Sans CJK SC"/>
        <family val="2"/>
      </rPr>
      <t>부품 행을 만들어 담당자를 지정합니다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</si>
  <si>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각 부품 담당자가 </t>
    </r>
    <r>
      <rPr>
        <sz val="10"/>
        <rFont val="Arial"/>
        <family val="2"/>
      </rPr>
      <t>NPI</t>
    </r>
    <r>
      <rPr>
        <sz val="10"/>
        <rFont val="Noto Sans CJK SC"/>
        <family val="2"/>
      </rPr>
      <t>진행현황에서 자기 행의 단계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완료율</t>
    </r>
    <r>
      <rPr>
        <sz val="10"/>
        <rFont val="Arial"/>
        <family val="2"/>
      </rPr>
      <t>(0~1)·</t>
    </r>
    <r>
      <rPr>
        <sz val="10"/>
        <rFont val="Noto Sans CJK SC"/>
        <family val="2"/>
      </rPr>
      <t>이슈를 갱신합니다</t>
    </r>
    <r>
      <rPr>
        <sz val="10"/>
        <rFont val="Arial"/>
        <family val="2"/>
      </rPr>
      <t>. PM</t>
    </r>
    <r>
      <rPr>
        <sz val="10"/>
        <rFont val="Noto Sans CJK SC"/>
        <family val="2"/>
      </rPr>
      <t>은 상품별완성률 시트를 열어 주간회의를 진행합니다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이 시트가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대시보드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역할입니다</t>
    </r>
    <r>
      <rPr>
        <sz val="10"/>
        <rFont val="Arial"/>
        <family val="2"/>
      </rPr>
      <t>.</t>
    </r>
  </si>
  <si>
    <t>④ 변경 발생</t>
  </si>
  <si>
    <r>
      <rPr>
        <sz val="10"/>
        <rFont val="Noto Sans CJK SC"/>
        <family val="2"/>
      </rPr>
      <t xml:space="preserve">담당자가 </t>
    </r>
    <r>
      <rPr>
        <sz val="10"/>
        <rFont val="Arial"/>
        <family val="2"/>
      </rPr>
      <t>ECN</t>
    </r>
    <r>
      <rPr>
        <sz val="10"/>
        <rFont val="Noto Sans CJK SC"/>
        <family val="2"/>
      </rPr>
      <t xml:space="preserve">을 적고 </t>
    </r>
    <r>
      <rPr>
        <sz val="10"/>
        <rFont val="Arial"/>
        <family val="2"/>
      </rPr>
      <t>PM/</t>
    </r>
    <r>
      <rPr>
        <sz val="10"/>
        <rFont val="Noto Sans CJK SC"/>
        <family val="2"/>
      </rPr>
      <t>품질이 승인하면 품번 관리자가 품목마스터 리비전을 올립니다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구매는 </t>
    </r>
    <r>
      <rPr>
        <sz val="10"/>
        <rFont val="Arial"/>
        <family val="2"/>
      </rPr>
      <t>ECN</t>
    </r>
    <r>
      <rPr>
        <sz val="10"/>
        <rFont val="Noto Sans CJK SC"/>
        <family val="2"/>
      </rPr>
      <t>을 보고 협력사에 변경을 전달합니다</t>
    </r>
    <r>
      <rPr>
        <sz val="10"/>
        <rFont val="Arial"/>
        <family val="2"/>
      </rPr>
      <t>.</t>
    </r>
  </si>
  <si>
    <r>
      <rPr>
        <b/>
        <sz val="11"/>
        <color rgb="FFFFFFFF"/>
        <rFont val="Arial"/>
        <family val="2"/>
      </rPr>
      <t xml:space="preserve">5. </t>
    </r>
    <r>
      <rPr>
        <b/>
        <sz val="11"/>
        <color rgb="FFFFFFFF"/>
        <rFont val="Noto Sans CJK SC"/>
        <family val="2"/>
      </rPr>
      <t>초기 운영 제안</t>
    </r>
  </si>
  <si>
    <t>역할 배정</t>
  </si>
  <si>
    <r>
      <rPr>
        <sz val="10"/>
        <rFont val="Noto Sans CJK SC"/>
        <family val="2"/>
      </rPr>
      <t xml:space="preserve">처음에는 </t>
    </r>
    <r>
      <rPr>
        <sz val="10"/>
        <rFont val="Arial"/>
        <family val="2"/>
      </rPr>
      <t>PM 1</t>
    </r>
    <r>
      <rPr>
        <sz val="10"/>
        <rFont val="Noto Sans CJK SC"/>
        <family val="2"/>
      </rPr>
      <t>명이 상품마스터</t>
    </r>
    <r>
      <rPr>
        <sz val="10"/>
        <rFont val="Arial"/>
        <family val="2"/>
      </rPr>
      <t xml:space="preserve">·BOM·ECN </t>
    </r>
    <r>
      <rPr>
        <sz val="10"/>
        <rFont val="Noto Sans CJK SC"/>
        <family val="2"/>
      </rPr>
      <t>오너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구매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명이 협력사마스터</t>
    </r>
    <r>
      <rPr>
        <sz val="10"/>
        <rFont val="Arial"/>
        <family val="2"/>
      </rPr>
      <t xml:space="preserve">·AVL </t>
    </r>
    <r>
      <rPr>
        <sz val="10"/>
        <rFont val="Noto Sans CJK SC"/>
        <family val="2"/>
      </rPr>
      <t>오너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나머지 담당자는 </t>
    </r>
    <r>
      <rPr>
        <sz val="10"/>
        <rFont val="Arial"/>
        <family val="2"/>
      </rPr>
      <t>NPI</t>
    </r>
    <r>
      <rPr>
        <sz val="10"/>
        <rFont val="Noto Sans CJK SC"/>
        <family val="2"/>
      </rPr>
      <t>진행현황에서 자기 행만 입력하는 구조가 가장 단순합니다</t>
    </r>
    <r>
      <rPr>
        <sz val="10"/>
        <rFont val="Arial"/>
        <family val="2"/>
      </rPr>
      <t>.</t>
    </r>
  </si>
  <si>
    <t>툴 전환 시점</t>
  </si>
  <si>
    <r>
      <rPr>
        <sz val="10"/>
        <rFont val="Noto Sans CJK SC"/>
        <family val="2"/>
      </rPr>
      <t>입력하는 사람이 많아질수록 코드 오타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중복이 늘어납니다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그 시점이 </t>
    </r>
    <r>
      <rPr>
        <sz val="10"/>
        <rFont val="Arial"/>
        <family val="2"/>
      </rPr>
      <t xml:space="preserve">DB(Database) + </t>
    </r>
    <r>
      <rPr>
        <sz val="10"/>
        <rFont val="Noto Sans CJK SC"/>
        <family val="2"/>
      </rPr>
      <t>내부 툴로 넘어가야 하는 신호이며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위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번 표의 입력자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관리자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조회자가 그대로 권한 설계가 됩니다</t>
    </r>
    <r>
      <rPr>
        <sz val="10"/>
        <rFont val="Arial"/>
        <family val="2"/>
      </rPr>
      <t>.</t>
    </r>
  </si>
  <si>
    <t>완성률</t>
  </si>
  <si>
    <r>
      <rPr>
        <sz val="10"/>
        <rFont val="Noto Sans CJK SC"/>
        <family val="2"/>
      </rPr>
      <t>현재는 부품 완료율의 단순 평균입니다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부품별 중요도를 반영하려면 </t>
    </r>
    <r>
      <rPr>
        <sz val="10"/>
        <rFont val="Arial"/>
        <family val="2"/>
      </rPr>
      <t>NPI</t>
    </r>
    <r>
      <rPr>
        <sz val="10"/>
        <rFont val="Noto Sans CJK SC"/>
        <family val="2"/>
      </rPr>
      <t xml:space="preserve">진행현황에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가중치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 xml:space="preserve">열을 추가하고 </t>
    </r>
    <r>
      <rPr>
        <sz val="10"/>
        <rFont val="Arial"/>
        <family val="2"/>
      </rPr>
      <t xml:space="preserve">SUMPRODUCT </t>
    </r>
    <r>
      <rPr>
        <sz val="10"/>
        <rFont val="Noto Sans CJK SC"/>
        <family val="2"/>
      </rPr>
      <t>수식으로 바꾸면 됩니다</t>
    </r>
    <r>
      <rPr>
        <sz val="10"/>
        <rFont val="Arial"/>
        <family val="2"/>
      </rPr>
      <t>.</t>
    </r>
  </si>
  <si>
    <r>
      <rPr>
        <b/>
        <sz val="11"/>
        <color rgb="FFFFFFFF"/>
        <rFont val="Arial"/>
        <family val="2"/>
      </rPr>
      <t xml:space="preserve">6. </t>
    </r>
    <r>
      <rPr>
        <b/>
        <sz val="11"/>
        <color rgb="FFFFFFFF"/>
        <rFont val="Noto Sans CJK SC"/>
        <family val="2"/>
      </rPr>
      <t xml:space="preserve">관계형 </t>
    </r>
    <r>
      <rPr>
        <b/>
        <sz val="11"/>
        <color rgb="FFFFFFFF"/>
        <rFont val="Arial"/>
        <family val="2"/>
      </rPr>
      <t xml:space="preserve">DB(Database) </t>
    </r>
    <r>
      <rPr>
        <b/>
        <sz val="11"/>
        <color rgb="FFFFFFFF"/>
        <rFont val="Noto Sans CJK SC"/>
        <family val="2"/>
      </rPr>
      <t>이행 시 매핑</t>
    </r>
  </si>
  <si>
    <t>테이블</t>
  </si>
  <si>
    <r>
      <rPr>
        <sz val="10"/>
        <rFont val="Noto Sans CJK SC"/>
        <family val="2"/>
      </rPr>
      <t xml:space="preserve">시트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테이블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회색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수식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열은 테이블에 넣지 않고 </t>
    </r>
    <r>
      <rPr>
        <sz val="10"/>
        <rFont val="Arial"/>
        <family val="2"/>
      </rPr>
      <t>JOIN</t>
    </r>
    <r>
      <rPr>
        <sz val="10"/>
        <rFont val="Noto Sans CJK SC"/>
        <family val="2"/>
      </rPr>
      <t>으로 대체합니다</t>
    </r>
    <r>
      <rPr>
        <sz val="10"/>
        <rFont val="Arial"/>
        <family val="2"/>
      </rPr>
      <t>.</t>
    </r>
  </si>
  <si>
    <t>PK (Primary Key)</t>
  </si>
  <si>
    <r>
      <rPr>
        <sz val="10"/>
        <rFont val="Noto Sans CJK SC"/>
        <family val="2"/>
      </rPr>
      <t>상품마스터</t>
    </r>
    <r>
      <rPr>
        <sz val="10"/>
        <rFont val="Arial"/>
        <family val="2"/>
      </rPr>
      <t>.</t>
    </r>
    <r>
      <rPr>
        <sz val="10"/>
        <rFont val="Noto Sans CJK SC"/>
        <family val="2"/>
      </rPr>
      <t xml:space="preserve">상품코드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품목마스터</t>
    </r>
    <r>
      <rPr>
        <sz val="10"/>
        <rFont val="Arial"/>
        <family val="2"/>
      </rPr>
      <t>.</t>
    </r>
    <r>
      <rPr>
        <sz val="10"/>
        <rFont val="Noto Sans CJK SC"/>
        <family val="2"/>
      </rPr>
      <t xml:space="preserve">품번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협력사마스터</t>
    </r>
    <r>
      <rPr>
        <sz val="10"/>
        <rFont val="Arial"/>
        <family val="2"/>
      </rPr>
      <t>.</t>
    </r>
    <r>
      <rPr>
        <sz val="10"/>
        <rFont val="Noto Sans CJK SC"/>
        <family val="2"/>
      </rPr>
      <t xml:space="preserve">협력사코드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담당자마스터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담당자</t>
    </r>
    <r>
      <rPr>
        <sz val="10"/>
        <rFont val="Arial"/>
        <family val="2"/>
      </rPr>
      <t>ID / ECN</t>
    </r>
    <r>
      <rPr>
        <sz val="10"/>
        <rFont val="Noto Sans CJK SC"/>
        <family val="2"/>
      </rPr>
      <t>변경이력</t>
    </r>
    <r>
      <rPr>
        <sz val="10"/>
        <rFont val="Arial"/>
        <family val="2"/>
      </rPr>
      <t>.ECN</t>
    </r>
    <r>
      <rPr>
        <sz val="10"/>
        <rFont val="Noto Sans CJK SC"/>
        <family val="2"/>
      </rPr>
      <t>번호</t>
    </r>
  </si>
  <si>
    <r>
      <rPr>
        <sz val="10"/>
        <rFont val="Noto Sans CJK SC"/>
        <family val="2"/>
      </rPr>
      <t xml:space="preserve">복합 </t>
    </r>
    <r>
      <rPr>
        <sz val="10"/>
        <rFont val="Arial"/>
        <family val="2"/>
      </rPr>
      <t>PK</t>
    </r>
  </si>
  <si>
    <r>
      <rPr>
        <sz val="10"/>
        <rFont val="Arial"/>
        <family val="2"/>
      </rPr>
      <t>BOM(</t>
    </r>
    <r>
      <rPr>
        <sz val="10"/>
        <rFont val="Noto Sans CJK SC"/>
        <family val="2"/>
      </rPr>
      <t>상품코드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품번</t>
    </r>
    <r>
      <rPr>
        <sz val="10"/>
        <rFont val="Arial"/>
        <family val="2"/>
      </rPr>
      <t>) / AVL(</t>
    </r>
    <r>
      <rPr>
        <sz val="10"/>
        <rFont val="Noto Sans CJK SC"/>
        <family val="2"/>
      </rPr>
      <t>품번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협력사코드</t>
    </r>
    <r>
      <rPr>
        <sz val="10"/>
        <rFont val="Arial"/>
        <family val="2"/>
      </rPr>
      <t>) / NPI</t>
    </r>
    <r>
      <rPr>
        <sz val="10"/>
        <rFont val="Noto Sans CJK SC"/>
        <family val="2"/>
      </rPr>
      <t>진행현황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상품코드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품번</t>
    </r>
    <r>
      <rPr>
        <sz val="10"/>
        <rFont val="Arial"/>
        <family val="2"/>
      </rPr>
      <t>)</t>
    </r>
  </si>
  <si>
    <t>FK (Foreign Key)</t>
  </si>
  <si>
    <r>
      <rPr>
        <sz val="10"/>
        <rFont val="Arial"/>
        <family val="2"/>
      </rPr>
      <t>BOM.</t>
    </r>
    <r>
      <rPr>
        <sz val="10"/>
        <rFont val="Noto Sans CJK SC"/>
        <family val="2"/>
      </rPr>
      <t>상위품번 → 품목마스터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품번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자기참조</t>
    </r>
    <r>
      <rPr>
        <sz val="10"/>
        <rFont val="Arial"/>
        <family val="2"/>
      </rPr>
      <t>) · AVL.</t>
    </r>
    <r>
      <rPr>
        <sz val="10"/>
        <rFont val="Noto Sans CJK SC"/>
        <family val="2"/>
      </rPr>
      <t>사내담당자</t>
    </r>
    <r>
      <rPr>
        <sz val="10"/>
        <rFont val="Arial"/>
        <family val="2"/>
      </rPr>
      <t xml:space="preserve">ID → </t>
    </r>
    <r>
      <rPr>
        <sz val="10"/>
        <rFont val="Noto Sans CJK SC"/>
        <family val="2"/>
      </rPr>
      <t xml:space="preserve">담당자마스터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상품마스터</t>
    </r>
    <r>
      <rPr>
        <sz val="10"/>
        <rFont val="Arial"/>
        <family val="2"/>
      </rPr>
      <t xml:space="preserve">.PM → </t>
    </r>
    <r>
      <rPr>
        <sz val="10"/>
        <rFont val="Noto Sans CJK SC"/>
        <family val="2"/>
      </rPr>
      <t xml:space="preserve">담당자마스터 </t>
    </r>
    <r>
      <rPr>
        <sz val="10"/>
        <rFont val="Arial"/>
        <family val="2"/>
      </rPr>
      <t>· ECN</t>
    </r>
    <r>
      <rPr>
        <sz val="10"/>
        <rFont val="Noto Sans CJK SC"/>
        <family val="2"/>
      </rPr>
      <t>변경이력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요청자</t>
    </r>
    <r>
      <rPr>
        <sz val="10"/>
        <rFont val="Arial"/>
        <family val="2"/>
      </rPr>
      <t>ID/</t>
    </r>
    <r>
      <rPr>
        <sz val="10"/>
        <rFont val="Noto Sans CJK SC"/>
        <family val="2"/>
      </rPr>
      <t>승인자</t>
    </r>
    <r>
      <rPr>
        <sz val="10"/>
        <rFont val="Arial"/>
        <family val="2"/>
      </rPr>
      <t xml:space="preserve">ID → </t>
    </r>
    <r>
      <rPr>
        <sz val="10"/>
        <rFont val="Noto Sans CJK SC"/>
        <family val="2"/>
      </rPr>
      <t>담당자마스터</t>
    </r>
  </si>
  <si>
    <r>
      <rPr>
        <sz val="10"/>
        <rFont val="Noto Sans CJK SC"/>
        <family val="2"/>
      </rPr>
      <t xml:space="preserve">각 열을 </t>
    </r>
    <r>
      <rPr>
        <sz val="10"/>
        <rFont val="Arial"/>
        <family val="2"/>
      </rPr>
      <t xml:space="preserve">ENUM </t>
    </r>
    <r>
      <rPr>
        <sz val="10"/>
        <rFont val="Noto Sans CJK SC"/>
        <family val="2"/>
      </rPr>
      <t xml:space="preserve">또는 별도 </t>
    </r>
    <r>
      <rPr>
        <sz val="10"/>
        <rFont val="Arial"/>
        <family val="2"/>
      </rPr>
      <t xml:space="preserve">lookup </t>
    </r>
    <r>
      <rPr>
        <sz val="10"/>
        <rFont val="Noto Sans CJK SC"/>
        <family val="2"/>
      </rPr>
      <t>테이블로 변환합니다</t>
    </r>
    <r>
      <rPr>
        <sz val="10"/>
        <rFont val="Arial"/>
        <family val="2"/>
      </rPr>
      <t>.</t>
    </r>
  </si>
  <si>
    <t>※ 예시 데이터</t>
  </si>
  <si>
    <r>
      <rPr>
        <sz val="10"/>
        <rFont val="Noto Sans CJK SC"/>
        <family val="2"/>
      </rPr>
      <t xml:space="preserve">비고란에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예시 데이터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예시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로 표시된 행은 형식 참고용입니다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실제 데이터로 덮어쓰세요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단가는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으로 비워두었습니다</t>
    </r>
    <r>
      <rPr>
        <sz val="10"/>
        <rFont val="Arial"/>
        <family val="2"/>
      </rPr>
      <t>.</t>
    </r>
  </si>
  <si>
    <t>상품코드</t>
  </si>
  <si>
    <t>상품명</t>
  </si>
  <si>
    <t>상품군</t>
  </si>
  <si>
    <t>상태</t>
  </si>
  <si>
    <t>출시목표일</t>
  </si>
  <si>
    <r>
      <rPr>
        <b/>
        <sz val="10"/>
        <color rgb="FFFFFFFF"/>
        <rFont val="Arial"/>
        <family val="2"/>
      </rPr>
      <t>PM(</t>
    </r>
    <r>
      <rPr>
        <b/>
        <sz val="10"/>
        <color rgb="FFFFFFFF"/>
        <rFont val="Noto Sans CJK SC"/>
        <family val="2"/>
      </rPr>
      <t>담당자</t>
    </r>
    <r>
      <rPr>
        <b/>
        <sz val="10"/>
        <color rgb="FFFFFFFF"/>
        <rFont val="Arial"/>
        <family val="2"/>
      </rPr>
      <t>ID)</t>
    </r>
  </si>
  <si>
    <r>
      <rPr>
        <b/>
        <sz val="10"/>
        <color rgb="FFFFFFFF"/>
        <rFont val="Arial"/>
        <family val="2"/>
      </rPr>
      <t xml:space="preserve">PM </t>
    </r>
    <r>
      <rPr>
        <b/>
        <sz val="10"/>
        <color rgb="FFFFFFFF"/>
        <rFont val="Noto Sans CJK SC"/>
        <family val="2"/>
      </rPr>
      <t>이름</t>
    </r>
  </si>
  <si>
    <t>커버 분리수</t>
  </si>
  <si>
    <t>비고</t>
  </si>
  <si>
    <t>MAT-001</t>
  </si>
  <si>
    <t>에어매트리스 A (커버 2분리)</t>
  </si>
  <si>
    <t>에어매트리스</t>
  </si>
  <si>
    <t>개발</t>
  </si>
  <si>
    <t>2026-12-01</t>
  </si>
  <si>
    <t>E-001</t>
  </si>
  <si>
    <t>예시 데이터</t>
  </si>
  <si>
    <t>MAT-002</t>
  </si>
  <si>
    <t>에어매트리스 B (커버 3분리)</t>
  </si>
  <si>
    <t>기획</t>
  </si>
  <si>
    <t>2027-03-01</t>
  </si>
  <si>
    <t>예시 데이터 (BOM 미작성)</t>
  </si>
  <si>
    <t>품번</t>
  </si>
  <si>
    <t>품명</t>
  </si>
  <si>
    <t>대분류</t>
  </si>
  <si>
    <t>중분류</t>
  </si>
  <si>
    <t>품목구분</t>
  </si>
  <si>
    <t>규격/사양</t>
  </si>
  <si>
    <t>단위</t>
  </si>
  <si>
    <t>리비전</t>
  </si>
  <si>
    <t>사양서/도면 링크</t>
  </si>
  <si>
    <t>특징/메모</t>
  </si>
  <si>
    <t>등록일</t>
  </si>
  <si>
    <t>CV-000</t>
  </si>
  <si>
    <t>커버 어셈블리</t>
  </si>
  <si>
    <t>커버</t>
  </si>
  <si>
    <t>어셈블리</t>
  </si>
  <si>
    <t>커버1~3 + 폼 + 라벨 조립품</t>
  </si>
  <si>
    <t>SET</t>
  </si>
  <si>
    <t>A</t>
  </si>
  <si>
    <t>제품별 커버 분리 수 상이(2~3)</t>
  </si>
  <si>
    <t>CV-001</t>
  </si>
  <si>
    <t>커버1 (상판)</t>
  </si>
  <si>
    <t>부품</t>
  </si>
  <si>
    <t>예: 니트 원단, 규격 입력</t>
  </si>
  <si>
    <t>EA</t>
  </si>
  <si>
    <t>CV-002</t>
  </si>
  <si>
    <t>커버2 (하판)</t>
  </si>
  <si>
    <t>CV-003</t>
  </si>
  <si>
    <t>커버3 (측면)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</si>
  <si>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분리 제품에만 사용</t>
    </r>
  </si>
  <si>
    <t>CV-010</t>
  </si>
  <si>
    <t>폼</t>
  </si>
  <si>
    <t>예: 밀도/두께 입력</t>
  </si>
  <si>
    <t>CV-020</t>
  </si>
  <si>
    <t>로우라벨 (법정표시)</t>
  </si>
  <si>
    <t>라벨</t>
  </si>
  <si>
    <r>
      <rPr>
        <sz val="10"/>
        <rFont val="Arial"/>
        <family val="2"/>
      </rPr>
      <t>KC/</t>
    </r>
    <r>
      <rPr>
        <sz val="10"/>
        <rFont val="Noto Sans CJK SC"/>
        <family val="2"/>
      </rPr>
      <t>세탁표시 등</t>
    </r>
  </si>
  <si>
    <t>CV-021</t>
  </si>
  <si>
    <t>로고라벨</t>
  </si>
  <si>
    <t>CT-000</t>
  </si>
  <si>
    <t>컨트롤러 어셈블리</t>
  </si>
  <si>
    <t>컨트롤러</t>
  </si>
  <si>
    <t>컨트롤러 본체 + 부속품 세트</t>
  </si>
  <si>
    <t>CT-001</t>
  </si>
  <si>
    <t>컨트롤러 아세이 (윈도우커버라벨 포함)</t>
  </si>
  <si>
    <t>본체</t>
  </si>
  <si>
    <t>아세이 버전은 리비전으로 관리</t>
  </si>
  <si>
    <t>윈도우커버라벨 사양 변경 시 리비전 업</t>
  </si>
  <si>
    <t>CT-002</t>
  </si>
  <si>
    <t>어댑터</t>
  </si>
  <si>
    <t>예: 12V 2A</t>
  </si>
  <si>
    <t>인증(KC) 여부 확인</t>
  </si>
  <si>
    <t>CT-003</t>
  </si>
  <si>
    <t>에어호스</t>
  </si>
  <si>
    <t>배관</t>
  </si>
  <si>
    <t>예: 길이/내경</t>
  </si>
  <si>
    <t>CT-004</t>
  </si>
  <si>
    <t>매뉴얼</t>
  </si>
  <si>
    <t>문서</t>
  </si>
  <si>
    <t>언어/버전 관리</t>
  </si>
  <si>
    <t>CT-005</t>
  </si>
  <si>
    <t>IoT Stick</t>
  </si>
  <si>
    <t>통신</t>
  </si>
  <si>
    <t>예: Wi-Fi/BLE</t>
  </si>
  <si>
    <r>
      <rPr>
        <sz val="10"/>
        <rFont val="Arial"/>
        <family val="2"/>
      </rPr>
      <t xml:space="preserve">FW </t>
    </r>
    <r>
      <rPr>
        <sz val="10"/>
        <rFont val="Noto Sans CJK SC"/>
        <family val="2"/>
      </rPr>
      <t xml:space="preserve">버전은 </t>
    </r>
    <r>
      <rPr>
        <sz val="10"/>
        <rFont val="Arial"/>
        <family val="2"/>
      </rPr>
      <t>ECN</t>
    </r>
    <r>
      <rPr>
        <sz val="10"/>
        <rFont val="Noto Sans CJK SC"/>
        <family val="2"/>
      </rPr>
      <t>으로 추적</t>
    </r>
  </si>
  <si>
    <t>CT-006</t>
  </si>
  <si>
    <t>컨트롤러 포장박스</t>
  </si>
  <si>
    <t>포장재</t>
  </si>
  <si>
    <t>PK-000</t>
  </si>
  <si>
    <t>완제품 포장 어셈블리</t>
  </si>
  <si>
    <t>포장</t>
  </si>
  <si>
    <t>포장방식 + 박스 + 비닐</t>
  </si>
  <si>
    <t>PK-001</t>
  </si>
  <si>
    <t>포장방식 A</t>
  </si>
  <si>
    <t>포장사양</t>
  </si>
  <si>
    <t>예: 롤팩(압축)</t>
  </si>
  <si>
    <t>포장 방식은 사양 품목으로 관리</t>
  </si>
  <si>
    <t>PK-002</t>
  </si>
  <si>
    <t>포장방식 B</t>
  </si>
  <si>
    <t>예: 평판 박스</t>
  </si>
  <si>
    <t>PK-003</t>
  </si>
  <si>
    <t>포장방식 C</t>
  </si>
  <si>
    <t>PK-010</t>
  </si>
  <si>
    <t>완제품 포장박스</t>
  </si>
  <si>
    <t>박스</t>
  </si>
  <si>
    <t>예: 외경 규격</t>
  </si>
  <si>
    <t>PK-011</t>
  </si>
  <si>
    <t>포장비닐</t>
  </si>
  <si>
    <t>비닐</t>
  </si>
  <si>
    <t>SW-000</t>
  </si>
  <si>
    <r>
      <rPr>
        <sz val="10"/>
        <rFont val="Arial"/>
        <family val="2"/>
      </rPr>
      <t>APP/</t>
    </r>
    <r>
      <rPr>
        <sz val="10"/>
        <rFont val="Noto Sans CJK SC"/>
        <family val="2"/>
      </rPr>
      <t>서버 세트</t>
    </r>
  </si>
  <si>
    <t>APP</t>
  </si>
  <si>
    <t>앱 + 서버 구성</t>
  </si>
  <si>
    <t>SW-001</t>
  </si>
  <si>
    <r>
      <rPr>
        <sz val="10"/>
        <rFont val="Arial"/>
        <family val="2"/>
      </rPr>
      <t xml:space="preserve">Android </t>
    </r>
    <r>
      <rPr>
        <sz val="10"/>
        <rFont val="Noto Sans CJK SC"/>
        <family val="2"/>
      </rPr>
      <t>앱</t>
    </r>
  </si>
  <si>
    <t>모바일앱</t>
  </si>
  <si>
    <t>소프트웨어</t>
  </si>
  <si>
    <t>버전은 리비전에 기록</t>
  </si>
  <si>
    <t>1.0.0</t>
  </si>
  <si>
    <t>SW-002</t>
  </si>
  <si>
    <r>
      <rPr>
        <sz val="10"/>
        <rFont val="Arial"/>
        <family val="2"/>
      </rPr>
      <t xml:space="preserve">iOS </t>
    </r>
    <r>
      <rPr>
        <sz val="10"/>
        <rFont val="Noto Sans CJK SC"/>
        <family val="2"/>
      </rPr>
      <t>앱</t>
    </r>
  </si>
  <si>
    <t>SW-003</t>
  </si>
  <si>
    <t>서버 - KR 리전</t>
  </si>
  <si>
    <t>서버</t>
  </si>
  <si>
    <t>SW-004</t>
  </si>
  <si>
    <t>서버 - US 리전</t>
  </si>
  <si>
    <t>해외 출시 시 사용</t>
  </si>
  <si>
    <t>레벨</t>
  </si>
  <si>
    <t>상위품번</t>
  </si>
  <si>
    <t>소요량</t>
  </si>
  <si>
    <t>필수여부</t>
  </si>
  <si>
    <t>대체품번</t>
  </si>
  <si>
    <t>필수</t>
  </si>
  <si>
    <t>레벨1 = 완제품 직속</t>
  </si>
  <si>
    <t>좌/우 2개</t>
  </si>
  <si>
    <t>옵션</t>
  </si>
  <si>
    <r>
      <rPr>
        <sz val="10"/>
        <rFont val="Arial"/>
        <family val="2"/>
      </rPr>
      <t xml:space="preserve">IoT </t>
    </r>
    <r>
      <rPr>
        <sz val="10"/>
        <rFont val="Noto Sans CJK SC"/>
        <family val="2"/>
      </rPr>
      <t>모델만</t>
    </r>
  </si>
  <si>
    <t>포장방식 A 기본, B 대체 가능</t>
  </si>
  <si>
    <r>
      <rPr>
        <sz val="10"/>
        <rFont val="Arial"/>
        <family val="2"/>
      </rPr>
      <t xml:space="preserve">KR </t>
    </r>
    <r>
      <rPr>
        <sz val="10"/>
        <rFont val="Noto Sans CJK SC"/>
        <family val="2"/>
      </rPr>
      <t>리전</t>
    </r>
  </si>
  <si>
    <t>협력사코드</t>
  </si>
  <si>
    <t>협력사명</t>
  </si>
  <si>
    <t>유형</t>
  </si>
  <si>
    <t>국가</t>
  </si>
  <si>
    <t>담당자명</t>
  </si>
  <si>
    <t>연락처</t>
  </si>
  <si>
    <t>이메일</t>
  </si>
  <si>
    <t>주요취급품목</t>
  </si>
  <si>
    <t>V-001</t>
  </si>
  <si>
    <r>
      <rPr>
        <sz val="10"/>
        <rFont val="Arial"/>
        <family val="2"/>
      </rPr>
      <t>OO</t>
    </r>
    <r>
      <rPr>
        <sz val="10"/>
        <rFont val="Noto Sans CJK SC"/>
        <family val="2"/>
      </rPr>
      <t>텍스타일</t>
    </r>
  </si>
  <si>
    <t>제조</t>
  </si>
  <si>
    <t>KR</t>
  </si>
  <si>
    <t>홍OO</t>
  </si>
  <si>
    <t>02-000-0001</t>
  </si>
  <si>
    <t>a@vendor.com</t>
  </si>
  <si>
    <t>커버 원단/봉제</t>
  </si>
  <si>
    <t>V-002</t>
  </si>
  <si>
    <r>
      <rPr>
        <sz val="10"/>
        <rFont val="Arial"/>
        <family val="2"/>
      </rPr>
      <t>OO</t>
    </r>
    <r>
      <rPr>
        <sz val="10"/>
        <rFont val="Noto Sans CJK SC"/>
        <family val="2"/>
      </rPr>
      <t>폼</t>
    </r>
  </si>
  <si>
    <t>강OO</t>
  </si>
  <si>
    <t>02-000-0002</t>
  </si>
  <si>
    <t>b@vendor.com</t>
  </si>
  <si>
    <t>V-003</t>
  </si>
  <si>
    <r>
      <rPr>
        <sz val="10"/>
        <rFont val="Arial"/>
        <family val="2"/>
      </rPr>
      <t>OO</t>
    </r>
    <r>
      <rPr>
        <sz val="10"/>
        <rFont val="Noto Sans CJK SC"/>
        <family val="2"/>
      </rPr>
      <t>전자</t>
    </r>
  </si>
  <si>
    <t>OEM/ODM</t>
  </si>
  <si>
    <t>CN</t>
  </si>
  <si>
    <t>왕OO</t>
  </si>
  <si>
    <t>+86-000</t>
  </si>
  <si>
    <t>c@vendor.com</t>
  </si>
  <si>
    <t>컨트롤러/어댑터/IoT</t>
  </si>
  <si>
    <t>V-004</t>
  </si>
  <si>
    <r>
      <rPr>
        <sz val="10"/>
        <rFont val="Arial"/>
        <family val="2"/>
      </rPr>
      <t>OO</t>
    </r>
    <r>
      <rPr>
        <sz val="10"/>
        <rFont val="Noto Sans CJK SC"/>
        <family val="2"/>
      </rPr>
      <t>패키지</t>
    </r>
  </si>
  <si>
    <t>인쇄</t>
  </si>
  <si>
    <t>송OO</t>
  </si>
  <si>
    <t>031-000-0004</t>
  </si>
  <si>
    <t>d@vendor.com</t>
  </si>
  <si>
    <t>박스/라벨/매뉴얼</t>
  </si>
  <si>
    <t>V-005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</si>
  <si>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자체개발</t>
    </r>
    <r>
      <rPr>
        <sz val="10"/>
        <rFont val="Arial"/>
        <family val="2"/>
      </rPr>
      <t>)</t>
    </r>
  </si>
  <si>
    <t>앱/서버</t>
  </si>
  <si>
    <t>담당자ID</t>
  </si>
  <si>
    <t>이름</t>
  </si>
  <si>
    <t>부서</t>
  </si>
  <si>
    <t>직책</t>
  </si>
  <si>
    <t>김OO</t>
  </si>
  <si>
    <t>상품기획</t>
  </si>
  <si>
    <t>pm@company.com</t>
  </si>
  <si>
    <t>010-0000-0001</t>
  </si>
  <si>
    <t>E-002</t>
  </si>
  <si>
    <t>이OO</t>
  </si>
  <si>
    <t>커버개발</t>
  </si>
  <si>
    <t>과장</t>
  </si>
  <si>
    <t>cover@company.com</t>
  </si>
  <si>
    <t>010-0000-0002</t>
  </si>
  <si>
    <t>E-003</t>
  </si>
  <si>
    <t>박OO</t>
  </si>
  <si>
    <r>
      <rPr>
        <sz val="10"/>
        <rFont val="Arial"/>
        <family val="2"/>
      </rPr>
      <t>H/W</t>
    </r>
    <r>
      <rPr>
        <sz val="10"/>
        <rFont val="Noto Sans CJK SC"/>
        <family val="2"/>
      </rPr>
      <t>개발</t>
    </r>
  </si>
  <si>
    <t>차장</t>
  </si>
  <si>
    <t>hw@company.com</t>
  </si>
  <si>
    <t>010-0000-0003</t>
  </si>
  <si>
    <t>E-004</t>
  </si>
  <si>
    <t>최OO</t>
  </si>
  <si>
    <r>
      <rPr>
        <sz val="10"/>
        <rFont val="Arial"/>
        <family val="2"/>
      </rPr>
      <t>S/W</t>
    </r>
    <r>
      <rPr>
        <sz val="10"/>
        <rFont val="Noto Sans CJK SC"/>
        <family val="2"/>
      </rPr>
      <t>개발</t>
    </r>
  </si>
  <si>
    <t>팀장</t>
  </si>
  <si>
    <t>sw@company.com</t>
  </si>
  <si>
    <t>010-0000-0004</t>
  </si>
  <si>
    <t>E-005</t>
  </si>
  <si>
    <t>정OO</t>
  </si>
  <si>
    <t>구매/포장</t>
  </si>
  <si>
    <t>대리</t>
  </si>
  <si>
    <t>pkg@company.com</t>
  </si>
  <si>
    <t>010-0000-0005</t>
  </si>
  <si>
    <t>사내담당자ID</t>
  </si>
  <si>
    <t>사내담당자</t>
  </si>
  <si>
    <t>승인상태</t>
  </si>
  <si>
    <t>리드타임(일)</t>
  </si>
  <si>
    <t>MOQ</t>
  </si>
  <si>
    <t>단가</t>
  </si>
  <si>
    <t>통화</t>
  </si>
  <si>
    <t>승인일</t>
  </si>
  <si>
    <t>승인</t>
  </si>
  <si>
    <t>KRW</t>
  </si>
  <si>
    <t>2026-08-01</t>
  </si>
  <si>
    <t>샘플평가</t>
  </si>
  <si>
    <t>2026-08-10</t>
  </si>
  <si>
    <t>USD</t>
  </si>
  <si>
    <t>2026-07-15</t>
  </si>
  <si>
    <t>후보</t>
  </si>
  <si>
    <t>2026-08-05</t>
  </si>
  <si>
    <t>자체개발</t>
  </si>
  <si>
    <t>담당자</t>
  </si>
  <si>
    <t>개발단계</t>
  </si>
  <si>
    <t>완료율</t>
  </si>
  <si>
    <t>시작일</t>
  </si>
  <si>
    <t>목표일</t>
  </si>
  <si>
    <t>이슈상태</t>
  </si>
  <si>
    <t>이슈내용</t>
  </si>
  <si>
    <t>다음 마일스톤</t>
  </si>
  <si>
    <t>최종업데이트</t>
  </si>
  <si>
    <t>2026-06-01</t>
  </si>
  <si>
    <t>2026-10-15</t>
  </si>
  <si>
    <t>없음</t>
  </si>
  <si>
    <r>
      <rPr>
        <sz val="10"/>
        <rFont val="Arial"/>
        <family val="2"/>
      </rPr>
      <t xml:space="preserve">DVT </t>
    </r>
    <r>
      <rPr>
        <sz val="10"/>
        <rFont val="Noto Sans CJK SC"/>
        <family val="2"/>
      </rPr>
      <t>세탁 내구 테스트 완료</t>
    </r>
  </si>
  <si>
    <t>2026-09-01</t>
  </si>
  <si>
    <t>예시</t>
  </si>
  <si>
    <t>2026-07-01</t>
  </si>
  <si>
    <t>2026-10-30</t>
  </si>
  <si>
    <t>진행중</t>
  </si>
  <si>
    <t>밀도 편차 발생, 2차 샘플 대기</t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</si>
  <si>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차 샘플 입고 </t>
    </r>
    <r>
      <rPr>
        <sz val="10"/>
        <rFont val="Arial"/>
        <family val="2"/>
      </rPr>
      <t>9/20</t>
    </r>
  </si>
  <si>
    <t>2026-06-15</t>
  </si>
  <si>
    <t>2026-09-30</t>
  </si>
  <si>
    <t>법정표시 문구 최종 검토</t>
  </si>
  <si>
    <r>
      <rPr>
        <sz val="10"/>
        <rFont val="Arial"/>
        <family val="2"/>
      </rPr>
      <t>MP(</t>
    </r>
    <r>
      <rPr>
        <sz val="10"/>
        <rFont val="Noto Sans CJK SC"/>
        <family val="2"/>
      </rPr>
      <t>양산</t>
    </r>
    <r>
      <rPr>
        <sz val="10"/>
        <rFont val="Arial"/>
        <family val="2"/>
      </rPr>
      <t>)</t>
    </r>
  </si>
  <si>
    <t>2026-05-01</t>
  </si>
  <si>
    <t>2026-08-30</t>
  </si>
  <si>
    <t>해결</t>
  </si>
  <si>
    <t>2026-11-15</t>
  </si>
  <si>
    <t>지연</t>
  </si>
  <si>
    <t>윈도우커버라벨 인쇄 색상 불일치</t>
  </si>
  <si>
    <r>
      <rPr>
        <sz val="10"/>
        <rFont val="Arial"/>
        <family val="2"/>
      </rPr>
      <t xml:space="preserve">EVT2 </t>
    </r>
    <r>
      <rPr>
        <sz val="10"/>
        <rFont val="Noto Sans CJK SC"/>
        <family val="2"/>
      </rPr>
      <t>샘플 검증</t>
    </r>
  </si>
  <si>
    <t>2026-04-01</t>
  </si>
  <si>
    <t>2026-11-01</t>
  </si>
  <si>
    <t>초안 작성</t>
  </si>
  <si>
    <r>
      <rPr>
        <sz val="10"/>
        <rFont val="Arial"/>
        <family val="2"/>
      </rPr>
      <t xml:space="preserve">Wi-Fi </t>
    </r>
    <r>
      <rPr>
        <sz val="10"/>
        <rFont val="Noto Sans CJK SC"/>
        <family val="2"/>
      </rPr>
      <t>연결 안정성 개선 중</t>
    </r>
  </si>
  <si>
    <r>
      <rPr>
        <sz val="10"/>
        <rFont val="Arial"/>
        <family val="2"/>
      </rPr>
      <t xml:space="preserve">FW 1.2 </t>
    </r>
    <r>
      <rPr>
        <sz val="10"/>
        <rFont val="Noto Sans CJK SC"/>
        <family val="2"/>
      </rPr>
      <t>테스트</t>
    </r>
  </si>
  <si>
    <t>2026-10-01</t>
  </si>
  <si>
    <t>낙하 테스트</t>
  </si>
  <si>
    <t>협력사 선정</t>
  </si>
  <si>
    <t>베타 배포</t>
  </si>
  <si>
    <t>앱스토어 심사 대응</t>
  </si>
  <si>
    <r>
      <rPr>
        <sz val="10"/>
        <rFont val="Arial"/>
        <family val="2"/>
      </rPr>
      <t xml:space="preserve">TestFlight </t>
    </r>
    <r>
      <rPr>
        <sz val="10"/>
        <rFont val="Noto Sans CJK SC"/>
        <family val="2"/>
      </rPr>
      <t>배포</t>
    </r>
  </si>
  <si>
    <t>부하 테스트</t>
  </si>
  <si>
    <t>등록 부품수</t>
  </si>
  <si>
    <t>전체 완성률</t>
  </si>
  <si>
    <r>
      <rPr>
        <b/>
        <sz val="10"/>
        <color rgb="FFFFFFFF"/>
        <rFont val="Arial"/>
        <family val="2"/>
      </rPr>
      <t>MP(</t>
    </r>
    <r>
      <rPr>
        <b/>
        <sz val="10"/>
        <color rgb="FFFFFFFF"/>
        <rFont val="Noto Sans CJK SC"/>
        <family val="2"/>
      </rPr>
      <t>양산</t>
    </r>
    <r>
      <rPr>
        <b/>
        <sz val="10"/>
        <color rgb="FFFFFFFF"/>
        <rFont val="Arial"/>
        <family val="2"/>
      </rPr>
      <t>)</t>
    </r>
  </si>
  <si>
    <t>진행중/지연 이슈</t>
  </si>
  <si>
    <t>※ 이 시트는 전부 수식입니다. 상품마스터 · NPI진행현황에 입력하면 자동 집계됩니다. 완성률 = 해당 상품의 NPI 부품별 완료율 단순 평균(가중치 없음). 대분류별은 품번 접두어(CV/CT/PK/SW) 기준.</t>
  </si>
  <si>
    <r>
      <rPr>
        <b/>
        <sz val="10"/>
        <color rgb="FFFFFFFF"/>
        <rFont val="Arial"/>
        <family val="2"/>
      </rPr>
      <t>ECN</t>
    </r>
    <r>
      <rPr>
        <b/>
        <sz val="10"/>
        <color rgb="FFFFFFFF"/>
        <rFont val="Noto Sans CJK SC"/>
        <family val="2"/>
      </rPr>
      <t>번호</t>
    </r>
  </si>
  <si>
    <t>일자</t>
  </si>
  <si>
    <t>변경구분</t>
  </si>
  <si>
    <t>리비전(전→후)</t>
  </si>
  <si>
    <t>변경 전</t>
  </si>
  <si>
    <t>변경 후</t>
  </si>
  <si>
    <t>사유</t>
  </si>
  <si>
    <t>요청자ID</t>
  </si>
  <si>
    <t>승인자ID</t>
  </si>
  <si>
    <t>영향 상품</t>
  </si>
  <si>
    <t>ECN-2026-001</t>
  </si>
  <si>
    <t>2026-08-20</t>
  </si>
  <si>
    <t>사양변경</t>
  </si>
  <si>
    <t>A→B</t>
  </si>
  <si>
    <t>윈도우커버라벨 인쇄 실크</t>
  </si>
  <si>
    <t>윈도우커버라벨 인쇄 UV</t>
  </si>
  <si>
    <t>색상 불일치 개선</t>
  </si>
  <si>
    <t>상품상태</t>
  </si>
  <si>
    <t>협력사유형</t>
  </si>
  <si>
    <t>제조사변경</t>
  </si>
  <si>
    <t>양산</t>
  </si>
  <si>
    <t>도면변경</t>
  </si>
  <si>
    <t>보류</t>
  </si>
  <si>
    <t>단종</t>
  </si>
  <si>
    <r>
      <rPr>
        <sz val="10"/>
        <rFont val="Arial"/>
        <family val="2"/>
      </rPr>
      <t>SW</t>
    </r>
    <r>
      <rPr>
        <sz val="10"/>
        <rFont val="Noto Sans CJK SC"/>
        <family val="2"/>
      </rPr>
      <t>버전</t>
    </r>
  </si>
  <si>
    <t>탈락</t>
  </si>
  <si>
    <t>물류</t>
  </si>
  <si>
    <t>포장변경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</si>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</sst>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4"/>
      <color rgb="FF1F3864"/>
      <name val="Noto Sans CJK SC"/>
      <family val="2"/>
    </font>
    <font>
      <b/>
      <sz val="14"/>
      <color rgb="FF1F3864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9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0"/>
      <name val="Noto Sans CJK SC"/>
      <family val="2"/>
    </font>
    <font>
      <b/>
      <sz val="9"/>
      <name val="Arial"/>
      <family val="2"/>
    </font>
    <font>
      <i/>
      <sz val="8"/>
      <color rgb="FF595959"/>
      <name val="Noto Sans CJK SC"/>
      <family val="2"/>
    </font>
    <font>
      <i/>
      <sz val="8"/>
      <color rgb="FF595959"/>
      <name val="Arial"/>
      <family val="2"/>
    </font>
    <font>
      <b/>
      <sz val="18"/>
      <color rgb="FF1F3864"/>
      <name val="Arial"/>
      <family val="2"/>
    </font>
    <font>
      <sz val="9"/>
      <color rgb="FF1F3864"/>
      <name val="Arial"/>
      <family val="2"/>
    </font>
    <font>
      <i/>
      <sz val="9"/>
      <color rgb="FFC00000"/>
      <name val="Arial"/>
      <family val="2"/>
    </font>
    <font>
      <i/>
      <sz val="9"/>
      <color rgb="FFC00000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9DB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9DB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9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4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21" fillId="4" borderId="1" xfId="0" applyFont="1" applyFill="1" applyBorder="1"/>
    <xf numFmtId="0" fontId="3" fillId="4" borderId="1" xfId="0" applyFont="1" applyFill="1" applyBorder="1"/>
    <xf numFmtId="0" fontId="21" fillId="6" borderId="1" xfId="0" applyFont="1" applyFill="1" applyBorder="1"/>
    <xf numFmtId="9" fontId="3" fillId="4" borderId="1" xfId="0" applyNumberFormat="1" applyFont="1" applyFill="1" applyBorder="1"/>
    <xf numFmtId="9" fontId="3" fillId="6" borderId="1" xfId="0" applyNumberFormat="1" applyFont="1" applyFill="1" applyBorder="1"/>
    <xf numFmtId="0" fontId="22" fillId="6" borderId="1" xfId="0" applyFont="1" applyFill="1" applyBorder="1"/>
    <xf numFmtId="0" fontId="18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showGridLines="0" topLeftCell="A21" zoomScaleNormal="100" workbookViewId="0">
      <selection activeCell="B28" sqref="B28:L28"/>
    </sheetView>
  </sheetViews>
  <sheetFormatPr defaultColWidth="8.7109375" defaultRowHeight="15"/>
  <cols>
    <col min="1" max="1" width="16" customWidth="1"/>
    <col min="2" max="12" width="14" customWidth="1"/>
  </cols>
  <sheetData>
    <row r="1" spans="1:12" ht="18">
      <c r="A1" s="15" t="s">
        <v>0</v>
      </c>
    </row>
    <row r="2" spans="1:12" ht="30" customHeight="1">
      <c r="A2" s="16"/>
      <c r="B2" s="14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3.5" customHeight="1">
      <c r="A5" s="20" t="s">
        <v>3</v>
      </c>
      <c r="B5" s="13" t="s">
        <v>4</v>
      </c>
      <c r="C5" s="13"/>
      <c r="D5" s="13"/>
      <c r="E5" s="13"/>
      <c r="F5" s="13" t="s">
        <v>5</v>
      </c>
      <c r="G5" s="13"/>
      <c r="H5" s="13"/>
      <c r="I5" s="13"/>
      <c r="J5" s="13"/>
      <c r="K5" s="13"/>
      <c r="L5" s="13"/>
    </row>
    <row r="6" spans="1:12" ht="13.5" customHeight="1">
      <c r="A6" s="21" t="s">
        <v>6</v>
      </c>
      <c r="B6" s="12" t="s">
        <v>7</v>
      </c>
      <c r="C6" s="12"/>
      <c r="D6" s="12"/>
      <c r="E6" s="12"/>
      <c r="F6" s="11" t="s">
        <v>8</v>
      </c>
      <c r="G6" s="11"/>
      <c r="H6" s="11"/>
      <c r="I6" s="11"/>
      <c r="J6" s="11"/>
      <c r="K6" s="11"/>
      <c r="L6" s="11"/>
    </row>
    <row r="7" spans="1:12" ht="13.5" customHeight="1">
      <c r="A7" s="21" t="s">
        <v>9</v>
      </c>
      <c r="B7" s="12" t="s">
        <v>10</v>
      </c>
      <c r="C7" s="12"/>
      <c r="D7" s="12"/>
      <c r="E7" s="12"/>
      <c r="F7" s="12" t="s">
        <v>11</v>
      </c>
      <c r="G7" s="12"/>
      <c r="H7" s="12"/>
      <c r="I7" s="12"/>
      <c r="J7" s="12"/>
      <c r="K7" s="12"/>
      <c r="L7" s="12"/>
    </row>
    <row r="8" spans="1:12" ht="27.75" customHeight="1">
      <c r="A8" s="21" t="s">
        <v>12</v>
      </c>
      <c r="B8" s="12" t="s">
        <v>13</v>
      </c>
      <c r="C8" s="12"/>
      <c r="D8" s="12"/>
      <c r="E8" s="12"/>
      <c r="F8" s="12" t="s">
        <v>14</v>
      </c>
      <c r="G8" s="12"/>
      <c r="H8" s="12"/>
      <c r="I8" s="12"/>
      <c r="J8" s="12"/>
      <c r="K8" s="12"/>
      <c r="L8" s="12"/>
    </row>
    <row r="9" spans="1:12" ht="27.75" customHeight="1">
      <c r="A9" s="21" t="s">
        <v>15</v>
      </c>
      <c r="B9" s="12" t="s">
        <v>16</v>
      </c>
      <c r="C9" s="12"/>
      <c r="D9" s="12"/>
      <c r="E9" s="12"/>
      <c r="F9" s="11" t="s">
        <v>17</v>
      </c>
      <c r="G9" s="11"/>
      <c r="H9" s="11"/>
      <c r="I9" s="11"/>
      <c r="J9" s="11"/>
      <c r="K9" s="11"/>
      <c r="L9" s="11"/>
    </row>
    <row r="10" spans="1:12" ht="13.5" customHeight="1">
      <c r="A10" s="21" t="s">
        <v>18</v>
      </c>
      <c r="B10" s="12" t="s">
        <v>19</v>
      </c>
      <c r="C10" s="12"/>
      <c r="D10" s="12"/>
      <c r="E10" s="12"/>
      <c r="F10" s="11" t="s">
        <v>20</v>
      </c>
      <c r="G10" s="11"/>
      <c r="H10" s="11"/>
      <c r="I10" s="11"/>
      <c r="J10" s="11"/>
      <c r="K10" s="11"/>
      <c r="L10" s="11"/>
    </row>
    <row r="11" spans="1:12" ht="13.5" customHeight="1">
      <c r="A11" s="21" t="s">
        <v>21</v>
      </c>
      <c r="B11" s="12" t="s">
        <v>22</v>
      </c>
      <c r="C11" s="12"/>
      <c r="D11" s="12"/>
      <c r="E11" s="12"/>
      <c r="F11" s="11" t="s">
        <v>23</v>
      </c>
      <c r="G11" s="11"/>
      <c r="H11" s="11"/>
      <c r="I11" s="11"/>
      <c r="J11" s="11"/>
      <c r="K11" s="11"/>
      <c r="L11" s="11"/>
    </row>
    <row r="12" spans="1:12" ht="13.5" customHeight="1">
      <c r="A12" s="21" t="s">
        <v>24</v>
      </c>
      <c r="B12" s="12" t="s">
        <v>25</v>
      </c>
      <c r="C12" s="12"/>
      <c r="D12" s="12"/>
      <c r="E12" s="12"/>
      <c r="F12" s="11" t="s">
        <v>26</v>
      </c>
      <c r="G12" s="11"/>
      <c r="H12" s="11"/>
      <c r="I12" s="11"/>
      <c r="J12" s="11"/>
      <c r="K12" s="11"/>
      <c r="L12" s="11"/>
    </row>
    <row r="13" spans="1:12" ht="27.75" customHeight="1">
      <c r="A13" s="21" t="s">
        <v>27</v>
      </c>
      <c r="B13" s="12" t="s">
        <v>28</v>
      </c>
      <c r="C13" s="12"/>
      <c r="D13" s="12"/>
      <c r="E13" s="12"/>
      <c r="F13" s="12" t="s">
        <v>29</v>
      </c>
      <c r="G13" s="12"/>
      <c r="H13" s="12"/>
      <c r="I13" s="12"/>
      <c r="J13" s="12"/>
      <c r="K13" s="12"/>
      <c r="L13" s="12"/>
    </row>
    <row r="14" spans="1:12" ht="13.5" customHeight="1">
      <c r="A14" s="21" t="s">
        <v>30</v>
      </c>
      <c r="B14" s="12" t="s">
        <v>31</v>
      </c>
      <c r="C14" s="12"/>
      <c r="D14" s="12"/>
      <c r="E14" s="12"/>
      <c r="F14" s="11" t="s">
        <v>32</v>
      </c>
      <c r="G14" s="11"/>
      <c r="H14" s="11"/>
      <c r="I14" s="11"/>
      <c r="J14" s="11"/>
      <c r="K14" s="11"/>
      <c r="L14" s="11"/>
    </row>
    <row r="15" spans="1:12" ht="13.5" customHeight="1">
      <c r="A15" s="21" t="s">
        <v>33</v>
      </c>
      <c r="B15" s="12" t="s">
        <v>34</v>
      </c>
      <c r="C15" s="12"/>
      <c r="D15" s="12"/>
      <c r="E15" s="12"/>
      <c r="F15" s="11" t="s">
        <v>35</v>
      </c>
      <c r="G15" s="11"/>
      <c r="H15" s="11"/>
      <c r="I15" s="11"/>
      <c r="J15" s="11"/>
      <c r="K15" s="11"/>
      <c r="L15" s="11"/>
    </row>
    <row r="16" spans="1:12" ht="27.75" customHeight="1">
      <c r="A16" s="21" t="s">
        <v>36</v>
      </c>
      <c r="B16" s="12" t="s">
        <v>37</v>
      </c>
      <c r="C16" s="12"/>
      <c r="D16" s="12"/>
      <c r="E16" s="12"/>
      <c r="F16" s="12" t="s">
        <v>38</v>
      </c>
      <c r="G16" s="12"/>
      <c r="H16" s="12"/>
      <c r="I16" s="12"/>
      <c r="J16" s="12"/>
      <c r="K16" s="12"/>
      <c r="L16" s="12"/>
    </row>
    <row r="17" spans="1:12" ht="13.5" customHeight="1">
      <c r="A17" s="21" t="s">
        <v>39</v>
      </c>
      <c r="B17" s="12" t="s">
        <v>40</v>
      </c>
      <c r="C17" s="12"/>
      <c r="D17" s="12"/>
      <c r="E17" s="12"/>
      <c r="F17" s="11" t="s">
        <v>41</v>
      </c>
      <c r="G17" s="11"/>
      <c r="H17" s="11"/>
      <c r="I17" s="11"/>
      <c r="J17" s="11"/>
      <c r="K17" s="11"/>
      <c r="L17" s="11"/>
    </row>
    <row r="19" spans="1:12">
      <c r="A19" s="18" t="s">
        <v>42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ht="13.5" customHeight="1">
      <c r="A20" s="20" t="s">
        <v>43</v>
      </c>
      <c r="B20" s="13" t="s">
        <v>44</v>
      </c>
      <c r="C20" s="13"/>
      <c r="D20" s="13"/>
      <c r="E20" s="13"/>
      <c r="F20" s="13" t="s">
        <v>45</v>
      </c>
      <c r="G20" s="13"/>
      <c r="H20" s="13"/>
      <c r="I20" s="13"/>
      <c r="J20" s="13"/>
      <c r="K20" s="13"/>
      <c r="L20" s="13"/>
    </row>
    <row r="21" spans="1:12" ht="27.75" customHeight="1">
      <c r="A21" s="22" t="s">
        <v>46</v>
      </c>
      <c r="B21" s="11" t="s">
        <v>47</v>
      </c>
      <c r="C21" s="11"/>
      <c r="D21" s="11"/>
      <c r="E21" s="11"/>
      <c r="F21" s="11" t="s">
        <v>48</v>
      </c>
      <c r="G21" s="11"/>
      <c r="H21" s="11"/>
      <c r="I21" s="11"/>
      <c r="J21" s="11"/>
      <c r="K21" s="11"/>
      <c r="L21" s="11"/>
    </row>
    <row r="22" spans="1:12" ht="27.75" customHeight="1">
      <c r="A22" s="22" t="s">
        <v>49</v>
      </c>
      <c r="B22" s="12" t="s">
        <v>50</v>
      </c>
      <c r="C22" s="12"/>
      <c r="D22" s="12"/>
      <c r="E22" s="12"/>
      <c r="F22" s="11" t="s">
        <v>51</v>
      </c>
      <c r="G22" s="11"/>
      <c r="H22" s="11"/>
      <c r="I22" s="11"/>
      <c r="J22" s="11"/>
      <c r="K22" s="11"/>
      <c r="L22" s="11"/>
    </row>
    <row r="23" spans="1:12" ht="27.75" customHeight="1">
      <c r="A23" s="22" t="s">
        <v>52</v>
      </c>
      <c r="B23" s="12" t="s">
        <v>53</v>
      </c>
      <c r="C23" s="12"/>
      <c r="D23" s="12"/>
      <c r="E23" s="12"/>
      <c r="F23" s="11" t="s">
        <v>54</v>
      </c>
      <c r="G23" s="11"/>
      <c r="H23" s="11"/>
      <c r="I23" s="11"/>
      <c r="J23" s="11"/>
      <c r="K23" s="11"/>
      <c r="L23" s="11"/>
    </row>
    <row r="24" spans="1:12" ht="13.5" customHeight="1">
      <c r="A24" s="22" t="s">
        <v>55</v>
      </c>
      <c r="B24" s="12" t="s">
        <v>56</v>
      </c>
      <c r="C24" s="12"/>
      <c r="D24" s="12"/>
      <c r="E24" s="12"/>
      <c r="F24" s="11" t="s">
        <v>57</v>
      </c>
      <c r="G24" s="11"/>
      <c r="H24" s="11"/>
      <c r="I24" s="11"/>
      <c r="J24" s="11"/>
      <c r="K24" s="11"/>
      <c r="L24" s="11"/>
    </row>
    <row r="25" spans="1:12" ht="13.5" customHeight="1">
      <c r="A25" s="22" t="s">
        <v>58</v>
      </c>
      <c r="B25" s="11" t="s">
        <v>59</v>
      </c>
      <c r="C25" s="11"/>
      <c r="D25" s="11"/>
      <c r="E25" s="11"/>
      <c r="F25" s="11" t="s">
        <v>60</v>
      </c>
      <c r="G25" s="11"/>
      <c r="H25" s="11"/>
      <c r="I25" s="11"/>
      <c r="J25" s="11"/>
      <c r="K25" s="11"/>
      <c r="L25" s="11"/>
    </row>
    <row r="26" spans="1:12" ht="15" customHeight="1">
      <c r="A26" s="23" t="s">
        <v>61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5" customHeight="1">
      <c r="A27" s="24" t="s">
        <v>62</v>
      </c>
      <c r="B27" s="14" t="s">
        <v>63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5" customHeight="1">
      <c r="A28" s="25" t="s">
        <v>64</v>
      </c>
      <c r="B28" s="10" t="s">
        <v>65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26" t="s">
        <v>66</v>
      </c>
      <c r="B29" s="14" t="s">
        <v>67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5" customHeight="1">
      <c r="A30" s="23" t="s">
        <v>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6" t="s">
        <v>69</v>
      </c>
      <c r="B31" s="14" t="s">
        <v>70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5" customHeight="1">
      <c r="A32" s="16" t="s">
        <v>71</v>
      </c>
      <c r="B32" s="14" t="s">
        <v>72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5" customHeight="1">
      <c r="A33" s="16" t="s">
        <v>73</v>
      </c>
      <c r="B33" s="14" t="s">
        <v>74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5" customHeight="1">
      <c r="A34" s="16" t="s">
        <v>75</v>
      </c>
      <c r="B34" s="10" t="s">
        <v>76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 t="s">
        <v>77</v>
      </c>
      <c r="B35" s="14" t="s">
        <v>78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7" spans="1:12">
      <c r="A37" s="18" t="s">
        <v>79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ht="30" customHeight="1">
      <c r="A38" s="16"/>
      <c r="B38" s="14" t="s">
        <v>80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3.5" customHeight="1">
      <c r="A39" s="20" t="s">
        <v>44</v>
      </c>
      <c r="B39" s="13" t="s">
        <v>81</v>
      </c>
      <c r="C39" s="13"/>
      <c r="D39" s="13"/>
      <c r="E39" s="13" t="s">
        <v>82</v>
      </c>
      <c r="F39" s="13"/>
      <c r="G39" s="13"/>
      <c r="H39" s="13" t="s">
        <v>83</v>
      </c>
      <c r="I39" s="13"/>
      <c r="J39" s="13"/>
      <c r="K39" s="13" t="s">
        <v>84</v>
      </c>
      <c r="L39" s="13"/>
    </row>
    <row r="40" spans="1:12" ht="13.5" customHeight="1">
      <c r="A40" s="22" t="s">
        <v>85</v>
      </c>
      <c r="B40" s="11" t="s">
        <v>86</v>
      </c>
      <c r="C40" s="11"/>
      <c r="D40" s="11"/>
      <c r="E40" s="11" t="s">
        <v>87</v>
      </c>
      <c r="F40" s="11"/>
      <c r="G40" s="11"/>
      <c r="H40" s="12" t="s">
        <v>33</v>
      </c>
      <c r="I40" s="12"/>
      <c r="J40" s="12"/>
      <c r="K40" s="11" t="s">
        <v>88</v>
      </c>
      <c r="L40" s="11"/>
    </row>
    <row r="41" spans="1:12" ht="13.5" customHeight="1">
      <c r="A41" s="22" t="s">
        <v>89</v>
      </c>
      <c r="B41" s="11" t="s">
        <v>90</v>
      </c>
      <c r="C41" s="11"/>
      <c r="D41" s="11"/>
      <c r="E41" s="11" t="s">
        <v>91</v>
      </c>
      <c r="F41" s="11"/>
      <c r="G41" s="11"/>
      <c r="H41" s="11" t="s">
        <v>92</v>
      </c>
      <c r="I41" s="11"/>
      <c r="J41" s="11"/>
      <c r="K41" s="11" t="s">
        <v>88</v>
      </c>
      <c r="L41" s="11"/>
    </row>
    <row r="42" spans="1:12" ht="13.5" customHeight="1">
      <c r="A42" s="21" t="s">
        <v>6</v>
      </c>
      <c r="B42" s="11" t="s">
        <v>93</v>
      </c>
      <c r="C42" s="11"/>
      <c r="D42" s="11"/>
      <c r="E42" s="11" t="s">
        <v>94</v>
      </c>
      <c r="F42" s="11"/>
      <c r="G42" s="11"/>
      <c r="H42" s="12" t="s">
        <v>33</v>
      </c>
      <c r="I42" s="12"/>
      <c r="J42" s="12"/>
      <c r="K42" s="11" t="s">
        <v>95</v>
      </c>
      <c r="L42" s="11"/>
    </row>
    <row r="43" spans="1:12" ht="13.5" customHeight="1">
      <c r="A43" s="22" t="s">
        <v>96</v>
      </c>
      <c r="B43" s="11" t="s">
        <v>97</v>
      </c>
      <c r="C43" s="11"/>
      <c r="D43" s="11"/>
      <c r="E43" s="11" t="s">
        <v>98</v>
      </c>
      <c r="F43" s="11"/>
      <c r="G43" s="11"/>
      <c r="H43" s="11" t="s">
        <v>98</v>
      </c>
      <c r="I43" s="11"/>
      <c r="J43" s="11"/>
      <c r="K43" s="11" t="s">
        <v>99</v>
      </c>
      <c r="L43" s="11"/>
    </row>
    <row r="44" spans="1:12" ht="13.5" customHeight="1">
      <c r="A44" s="22" t="s">
        <v>100</v>
      </c>
      <c r="B44" s="11" t="s">
        <v>101</v>
      </c>
      <c r="C44" s="11"/>
      <c r="D44" s="11"/>
      <c r="E44" s="11" t="s">
        <v>102</v>
      </c>
      <c r="F44" s="11"/>
      <c r="G44" s="11"/>
      <c r="H44" s="12" t="s">
        <v>103</v>
      </c>
      <c r="I44" s="12"/>
      <c r="J44" s="12"/>
      <c r="K44" s="11" t="s">
        <v>88</v>
      </c>
      <c r="L44" s="11"/>
    </row>
    <row r="45" spans="1:12" ht="13.5" customHeight="1">
      <c r="A45" s="21" t="s">
        <v>9</v>
      </c>
      <c r="B45" s="11" t="s">
        <v>104</v>
      </c>
      <c r="C45" s="11"/>
      <c r="D45" s="11"/>
      <c r="E45" s="11" t="s">
        <v>105</v>
      </c>
      <c r="F45" s="11"/>
      <c r="G45" s="11"/>
      <c r="H45" s="11" t="s">
        <v>98</v>
      </c>
      <c r="I45" s="11"/>
      <c r="J45" s="11"/>
      <c r="K45" s="11" t="s">
        <v>106</v>
      </c>
      <c r="L45" s="11"/>
    </row>
    <row r="46" spans="1:12" ht="13.5" customHeight="1">
      <c r="A46" s="21" t="s">
        <v>107</v>
      </c>
      <c r="B46" s="11" t="s">
        <v>108</v>
      </c>
      <c r="C46" s="11"/>
      <c r="D46" s="11"/>
      <c r="E46" s="11" t="s">
        <v>109</v>
      </c>
      <c r="F46" s="11"/>
      <c r="G46" s="11"/>
      <c r="H46" s="12" t="s">
        <v>33</v>
      </c>
      <c r="I46" s="12"/>
      <c r="J46" s="12"/>
      <c r="K46" s="11" t="s">
        <v>110</v>
      </c>
      <c r="L46" s="11"/>
    </row>
    <row r="47" spans="1:12" ht="13.5" customHeight="1">
      <c r="A47" s="22" t="s">
        <v>111</v>
      </c>
      <c r="B47" s="11" t="s">
        <v>112</v>
      </c>
      <c r="C47" s="11"/>
      <c r="D47" s="11"/>
      <c r="E47" s="12" t="s">
        <v>113</v>
      </c>
      <c r="F47" s="12"/>
      <c r="G47" s="12"/>
      <c r="H47" s="12" t="s">
        <v>113</v>
      </c>
      <c r="I47" s="12"/>
      <c r="J47" s="12"/>
      <c r="K47" s="11" t="s">
        <v>114</v>
      </c>
      <c r="L47" s="11"/>
    </row>
    <row r="48" spans="1:12" ht="13.5" customHeight="1">
      <c r="A48" s="21" t="s">
        <v>115</v>
      </c>
      <c r="B48" s="11" t="s">
        <v>116</v>
      </c>
      <c r="C48" s="11"/>
      <c r="D48" s="11"/>
      <c r="E48" s="11" t="s">
        <v>117</v>
      </c>
      <c r="F48" s="11"/>
      <c r="G48" s="11"/>
      <c r="H48" s="12" t="s">
        <v>118</v>
      </c>
      <c r="I48" s="12"/>
      <c r="J48" s="12"/>
      <c r="K48" s="11" t="s">
        <v>119</v>
      </c>
      <c r="L48" s="11"/>
    </row>
    <row r="49" spans="1:12" ht="13.5" customHeight="1">
      <c r="A49" s="22" t="s">
        <v>59</v>
      </c>
      <c r="B49" s="11" t="s">
        <v>120</v>
      </c>
      <c r="C49" s="11"/>
      <c r="D49" s="11"/>
      <c r="E49" s="12" t="s">
        <v>113</v>
      </c>
      <c r="F49" s="12"/>
      <c r="G49" s="12"/>
      <c r="H49" s="11" t="s">
        <v>121</v>
      </c>
      <c r="I49" s="11"/>
      <c r="J49" s="11"/>
      <c r="K49" s="12" t="s">
        <v>113</v>
      </c>
      <c r="L49" s="12"/>
    </row>
    <row r="51" spans="1:12">
      <c r="A51" s="18" t="s">
        <v>122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ht="15" customHeight="1">
      <c r="A52" s="16"/>
      <c r="B52" s="14" t="s">
        <v>123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ht="21.75" customHeight="1">
      <c r="B53" s="9" t="s">
        <v>124</v>
      </c>
      <c r="C53" s="9"/>
      <c r="E53" s="9" t="s">
        <v>125</v>
      </c>
      <c r="F53" s="9"/>
      <c r="H53" s="9" t="s">
        <v>126</v>
      </c>
      <c r="I53" s="9"/>
      <c r="K53" s="9" t="s">
        <v>127</v>
      </c>
      <c r="L53" s="9"/>
    </row>
    <row r="54" spans="1:12" ht="15" customHeight="1">
      <c r="B54" s="8" t="s">
        <v>128</v>
      </c>
      <c r="C54" s="8"/>
      <c r="E54" s="7" t="s">
        <v>129</v>
      </c>
      <c r="F54" s="7"/>
      <c r="H54" s="6" t="s">
        <v>130</v>
      </c>
      <c r="I54" s="6"/>
      <c r="K54" s="5" t="s">
        <v>131</v>
      </c>
      <c r="L54" s="5"/>
    </row>
    <row r="55" spans="1:12" ht="15" customHeight="1">
      <c r="B55" s="4" t="s">
        <v>132</v>
      </c>
      <c r="C55" s="4"/>
      <c r="E55" s="3" t="s">
        <v>133</v>
      </c>
      <c r="F55" s="3"/>
      <c r="H55" s="2" t="s">
        <v>134</v>
      </c>
      <c r="I55" s="2"/>
      <c r="K55" s="1" t="s">
        <v>135</v>
      </c>
      <c r="L55" s="1"/>
    </row>
    <row r="56" spans="1:12">
      <c r="B56" s="4"/>
      <c r="C56" s="4"/>
      <c r="E56" s="3"/>
      <c r="F56" s="3"/>
      <c r="H56" s="2"/>
      <c r="I56" s="2"/>
      <c r="K56" s="1"/>
      <c r="L56" s="1"/>
    </row>
    <row r="57" spans="1:12" ht="23.25">
      <c r="B57" s="4"/>
      <c r="C57" s="4"/>
      <c r="D57" s="27" t="s">
        <v>136</v>
      </c>
      <c r="E57" s="3"/>
      <c r="F57" s="3"/>
      <c r="G57" s="27" t="s">
        <v>136</v>
      </c>
      <c r="H57" s="2"/>
      <c r="I57" s="2"/>
      <c r="J57" s="27" t="s">
        <v>136</v>
      </c>
      <c r="K57" s="1"/>
      <c r="L57" s="1"/>
    </row>
    <row r="58" spans="1:12">
      <c r="B58" s="4"/>
      <c r="C58" s="4"/>
      <c r="E58" s="3"/>
      <c r="F58" s="3"/>
      <c r="H58" s="2"/>
      <c r="I58" s="2"/>
      <c r="K58" s="1"/>
      <c r="L58" s="1"/>
    </row>
    <row r="59" spans="1:12">
      <c r="B59" s="38" t="s">
        <v>137</v>
      </c>
      <c r="C59" s="38"/>
      <c r="E59" s="38" t="s">
        <v>137</v>
      </c>
      <c r="F59" s="38"/>
      <c r="H59" s="38" t="s">
        <v>137</v>
      </c>
      <c r="I59" s="38"/>
      <c r="K59" s="38" t="s">
        <v>137</v>
      </c>
      <c r="L59" s="38"/>
    </row>
    <row r="60" spans="1:12" ht="15" customHeight="1">
      <c r="B60" s="4" t="s">
        <v>138</v>
      </c>
      <c r="C60" s="4"/>
      <c r="E60" s="3" t="s">
        <v>139</v>
      </c>
      <c r="F60" s="3"/>
      <c r="H60" s="39" t="s">
        <v>140</v>
      </c>
      <c r="I60" s="39"/>
      <c r="K60" s="40" t="s">
        <v>141</v>
      </c>
      <c r="L60" s="40"/>
    </row>
    <row r="61" spans="1:12">
      <c r="B61" s="4"/>
      <c r="C61" s="4"/>
      <c r="E61" s="3"/>
      <c r="F61" s="3"/>
      <c r="H61" s="39"/>
      <c r="I61" s="39"/>
      <c r="K61" s="40"/>
      <c r="L61" s="40"/>
    </row>
    <row r="62" spans="1:12">
      <c r="B62" s="4"/>
      <c r="C62" s="4"/>
      <c r="E62" s="3"/>
      <c r="F62" s="3"/>
      <c r="H62" s="39"/>
      <c r="I62" s="39"/>
      <c r="K62" s="40"/>
      <c r="L62" s="40"/>
    </row>
    <row r="63" spans="1:12">
      <c r="B63" s="4"/>
      <c r="C63" s="4"/>
      <c r="E63" s="3"/>
      <c r="F63" s="3"/>
      <c r="H63" s="39"/>
      <c r="I63" s="39"/>
      <c r="K63" s="40"/>
      <c r="L63" s="40"/>
    </row>
    <row r="64" spans="1:12">
      <c r="B64" s="38" t="s">
        <v>137</v>
      </c>
      <c r="C64" s="38"/>
      <c r="E64" s="38" t="s">
        <v>137</v>
      </c>
      <c r="F64" s="38"/>
      <c r="H64" s="38" t="s">
        <v>137</v>
      </c>
      <c r="I64" s="38"/>
      <c r="K64" s="38" t="s">
        <v>137</v>
      </c>
      <c r="L64" s="38"/>
    </row>
    <row r="65" spans="1:12" ht="15" customHeight="1">
      <c r="B65" s="4" t="s">
        <v>142</v>
      </c>
      <c r="C65" s="4"/>
      <c r="E65" s="41" t="s">
        <v>143</v>
      </c>
      <c r="F65" s="41"/>
      <c r="H65" s="2" t="s">
        <v>144</v>
      </c>
      <c r="I65" s="2"/>
      <c r="K65" s="1" t="s">
        <v>145</v>
      </c>
      <c r="L65" s="1"/>
    </row>
    <row r="66" spans="1:12">
      <c r="B66" s="4"/>
      <c r="C66" s="4"/>
      <c r="E66" s="41"/>
      <c r="F66" s="41"/>
      <c r="H66" s="2"/>
      <c r="I66" s="2"/>
      <c r="K66" s="1"/>
      <c r="L66" s="1"/>
    </row>
    <row r="67" spans="1:12">
      <c r="B67" s="4"/>
      <c r="C67" s="4"/>
      <c r="E67" s="41"/>
      <c r="F67" s="41"/>
      <c r="H67" s="2"/>
      <c r="I67" s="2"/>
      <c r="K67" s="1"/>
      <c r="L67" s="1"/>
    </row>
    <row r="68" spans="1:12">
      <c r="B68" s="4"/>
      <c r="C68" s="4"/>
      <c r="E68" s="41"/>
      <c r="F68" s="41"/>
      <c r="H68" s="2"/>
      <c r="I68" s="2"/>
      <c r="K68" s="1"/>
      <c r="L68" s="1"/>
    </row>
    <row r="69" spans="1:12">
      <c r="B69" s="38" t="s">
        <v>137</v>
      </c>
      <c r="C69" s="38"/>
      <c r="E69" s="38" t="s">
        <v>137</v>
      </c>
      <c r="F69" s="38"/>
      <c r="K69" s="38" t="s">
        <v>137</v>
      </c>
      <c r="L69" s="38"/>
    </row>
    <row r="70" spans="1:12" ht="15" customHeight="1">
      <c r="B70" s="4" t="s">
        <v>146</v>
      </c>
      <c r="C70" s="4"/>
      <c r="E70" s="3" t="s">
        <v>147</v>
      </c>
      <c r="F70" s="3"/>
      <c r="H70" s="42"/>
      <c r="I70" s="42"/>
      <c r="K70" s="1" t="s">
        <v>148</v>
      </c>
      <c r="L70" s="1"/>
    </row>
    <row r="71" spans="1:12">
      <c r="B71" s="4"/>
      <c r="C71" s="4"/>
      <c r="E71" s="3"/>
      <c r="F71" s="3"/>
      <c r="H71" s="42"/>
      <c r="I71" s="42"/>
      <c r="K71" s="1"/>
      <c r="L71" s="1"/>
    </row>
    <row r="72" spans="1:12">
      <c r="B72" s="4"/>
      <c r="C72" s="4"/>
      <c r="E72" s="3"/>
      <c r="F72" s="3"/>
      <c r="H72" s="42"/>
      <c r="I72" s="42"/>
      <c r="K72" s="1"/>
      <c r="L72" s="1"/>
    </row>
    <row r="73" spans="1:12">
      <c r="B73" s="4"/>
      <c r="C73" s="4"/>
      <c r="E73" s="3"/>
      <c r="F73" s="3"/>
      <c r="H73" s="42"/>
      <c r="I73" s="42"/>
      <c r="K73" s="1"/>
      <c r="L73" s="1"/>
    </row>
    <row r="75" spans="1:12">
      <c r="B75" s="43" t="s">
        <v>149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7" spans="1:12" ht="30" customHeight="1">
      <c r="A77" s="17" t="s">
        <v>150</v>
      </c>
      <c r="B77" s="14" t="s">
        <v>151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2" ht="15" customHeight="1">
      <c r="A78" s="17" t="s">
        <v>125</v>
      </c>
      <c r="B78" s="10" t="s">
        <v>152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 t="s">
        <v>126</v>
      </c>
      <c r="B79" s="14" t="s">
        <v>153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2" ht="15" customHeight="1">
      <c r="A80" s="17" t="s">
        <v>154</v>
      </c>
      <c r="B80" s="14" t="s">
        <v>155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2" spans="1:12">
      <c r="A82" s="18" t="s">
        <v>156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ht="15" customHeight="1">
      <c r="A83" s="17" t="s">
        <v>157</v>
      </c>
      <c r="B83" s="14" t="s">
        <v>158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2" ht="15" customHeight="1">
      <c r="A84" s="17" t="s">
        <v>159</v>
      </c>
      <c r="B84" s="14" t="s">
        <v>160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1:12" ht="15" customHeight="1">
      <c r="A85" s="17" t="s">
        <v>161</v>
      </c>
      <c r="B85" s="14" t="s">
        <v>162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7" spans="1:12">
      <c r="A87" s="18" t="s">
        <v>163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15" customHeight="1">
      <c r="A88" s="17" t="s">
        <v>164</v>
      </c>
      <c r="B88" s="14" t="s">
        <v>165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12" ht="15" customHeight="1">
      <c r="A89" s="16" t="s">
        <v>166</v>
      </c>
      <c r="B89" s="14" t="s">
        <v>167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2" ht="15" customHeight="1">
      <c r="A90" s="17" t="s">
        <v>168</v>
      </c>
      <c r="B90" s="10" t="s">
        <v>169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6" t="s">
        <v>170</v>
      </c>
      <c r="B91" s="10" t="s">
        <v>171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 t="s">
        <v>59</v>
      </c>
      <c r="B92" s="14" t="s">
        <v>172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1:12" ht="15" customHeight="1">
      <c r="A93" s="17" t="s">
        <v>173</v>
      </c>
      <c r="B93" s="14" t="s">
        <v>174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</row>
  </sheetData>
  <mergeCells count="144">
    <mergeCell ref="B83:L83"/>
    <mergeCell ref="B84:L84"/>
    <mergeCell ref="B85:L85"/>
    <mergeCell ref="B88:L88"/>
    <mergeCell ref="B89:L89"/>
    <mergeCell ref="B90:L90"/>
    <mergeCell ref="B91:L91"/>
    <mergeCell ref="B92:L92"/>
    <mergeCell ref="B93:L93"/>
    <mergeCell ref="B70:C73"/>
    <mergeCell ref="E70:F73"/>
    <mergeCell ref="H70:I73"/>
    <mergeCell ref="K70:L73"/>
    <mergeCell ref="B75:L75"/>
    <mergeCell ref="B77:L77"/>
    <mergeCell ref="B78:L78"/>
    <mergeCell ref="B79:L79"/>
    <mergeCell ref="B80:L80"/>
    <mergeCell ref="B64:C64"/>
    <mergeCell ref="E64:F64"/>
    <mergeCell ref="H64:I64"/>
    <mergeCell ref="K64:L64"/>
    <mergeCell ref="B65:C68"/>
    <mergeCell ref="E65:F68"/>
    <mergeCell ref="H65:I68"/>
    <mergeCell ref="K65:L68"/>
    <mergeCell ref="B69:C69"/>
    <mergeCell ref="E69:F69"/>
    <mergeCell ref="K69:L69"/>
    <mergeCell ref="B55:C58"/>
    <mergeCell ref="E55:F58"/>
    <mergeCell ref="H55:I58"/>
    <mergeCell ref="K55:L58"/>
    <mergeCell ref="B59:C59"/>
    <mergeCell ref="E59:F59"/>
    <mergeCell ref="H59:I59"/>
    <mergeCell ref="K59:L59"/>
    <mergeCell ref="B60:C63"/>
    <mergeCell ref="E60:F63"/>
    <mergeCell ref="H60:I63"/>
    <mergeCell ref="K60:L63"/>
    <mergeCell ref="B52:L52"/>
    <mergeCell ref="B53:C53"/>
    <mergeCell ref="E53:F53"/>
    <mergeCell ref="H53:I53"/>
    <mergeCell ref="K53:L53"/>
    <mergeCell ref="B54:C54"/>
    <mergeCell ref="E54:F54"/>
    <mergeCell ref="H54:I54"/>
    <mergeCell ref="K54:L54"/>
    <mergeCell ref="B47:D47"/>
    <mergeCell ref="E47:G47"/>
    <mergeCell ref="H47:J47"/>
    <mergeCell ref="K47:L47"/>
    <mergeCell ref="B48:D48"/>
    <mergeCell ref="E48:G48"/>
    <mergeCell ref="H48:J48"/>
    <mergeCell ref="K48:L48"/>
    <mergeCell ref="B49:D49"/>
    <mergeCell ref="E49:G49"/>
    <mergeCell ref="H49:J49"/>
    <mergeCell ref="K49:L49"/>
    <mergeCell ref="B44:D44"/>
    <mergeCell ref="E44:G44"/>
    <mergeCell ref="H44:J44"/>
    <mergeCell ref="K44:L44"/>
    <mergeCell ref="B45:D45"/>
    <mergeCell ref="E45:G45"/>
    <mergeCell ref="H45:J45"/>
    <mergeCell ref="K45:L45"/>
    <mergeCell ref="B46:D46"/>
    <mergeCell ref="E46:G46"/>
    <mergeCell ref="H46:J46"/>
    <mergeCell ref="K46:L46"/>
    <mergeCell ref="B41:D41"/>
    <mergeCell ref="E41:G41"/>
    <mergeCell ref="H41:J41"/>
    <mergeCell ref="K41:L41"/>
    <mergeCell ref="B42:D42"/>
    <mergeCell ref="E42:G42"/>
    <mergeCell ref="H42:J42"/>
    <mergeCell ref="K42:L42"/>
    <mergeCell ref="B43:D43"/>
    <mergeCell ref="E43:G43"/>
    <mergeCell ref="H43:J43"/>
    <mergeCell ref="K43:L43"/>
    <mergeCell ref="B35:L35"/>
    <mergeCell ref="B38:L38"/>
    <mergeCell ref="B39:D39"/>
    <mergeCell ref="E39:G39"/>
    <mergeCell ref="H39:J39"/>
    <mergeCell ref="K39:L39"/>
    <mergeCell ref="B40:D40"/>
    <mergeCell ref="E40:G40"/>
    <mergeCell ref="H40:J40"/>
    <mergeCell ref="K40:L40"/>
    <mergeCell ref="B26:L26"/>
    <mergeCell ref="B27:L27"/>
    <mergeCell ref="B28:L28"/>
    <mergeCell ref="B29:L29"/>
    <mergeCell ref="B30:L30"/>
    <mergeCell ref="B31:L31"/>
    <mergeCell ref="B32:L32"/>
    <mergeCell ref="B33:L33"/>
    <mergeCell ref="B34:L34"/>
    <mergeCell ref="B21:E21"/>
    <mergeCell ref="F21:L21"/>
    <mergeCell ref="B22:E22"/>
    <mergeCell ref="F22:L22"/>
    <mergeCell ref="B23:E23"/>
    <mergeCell ref="F23:L23"/>
    <mergeCell ref="B24:E24"/>
    <mergeCell ref="F24:L24"/>
    <mergeCell ref="B25:E25"/>
    <mergeCell ref="F25:L25"/>
    <mergeCell ref="B14:E14"/>
    <mergeCell ref="F14:L14"/>
    <mergeCell ref="B15:E15"/>
    <mergeCell ref="F15:L15"/>
    <mergeCell ref="B16:E16"/>
    <mergeCell ref="F16:L16"/>
    <mergeCell ref="B17:E17"/>
    <mergeCell ref="F17:L17"/>
    <mergeCell ref="B20:E20"/>
    <mergeCell ref="F20:L20"/>
    <mergeCell ref="B9:E9"/>
    <mergeCell ref="F9:L9"/>
    <mergeCell ref="B10:E10"/>
    <mergeCell ref="F10:L10"/>
    <mergeCell ref="B11:E11"/>
    <mergeCell ref="F11:L11"/>
    <mergeCell ref="B12:E12"/>
    <mergeCell ref="F12:L12"/>
    <mergeCell ref="B13:E13"/>
    <mergeCell ref="F13:L13"/>
    <mergeCell ref="B2:L2"/>
    <mergeCell ref="B5:E5"/>
    <mergeCell ref="F5:L5"/>
    <mergeCell ref="B6:E6"/>
    <mergeCell ref="F6:L6"/>
    <mergeCell ref="B7:E7"/>
    <mergeCell ref="F7:L7"/>
    <mergeCell ref="B8:E8"/>
    <mergeCell ref="F8:L8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28" customWidth="1"/>
    <col min="3" max="3" width="12" customWidth="1"/>
    <col min="4" max="4" width="9" customWidth="1"/>
    <col min="5" max="5" width="12" customWidth="1"/>
    <col min="6" max="6" width="13" customWidth="1"/>
    <col min="7" max="8" width="10" customWidth="1"/>
    <col min="9" max="9" width="30" customWidth="1"/>
  </cols>
  <sheetData>
    <row r="1" spans="1:9" ht="30" customHeight="1">
      <c r="A1" s="28" t="s">
        <v>175</v>
      </c>
      <c r="B1" s="28" t="s">
        <v>176</v>
      </c>
      <c r="C1" s="28" t="s">
        <v>177</v>
      </c>
      <c r="D1" s="28" t="s">
        <v>178</v>
      </c>
      <c r="E1" s="28" t="s">
        <v>179</v>
      </c>
      <c r="F1" s="29" t="s">
        <v>180</v>
      </c>
      <c r="G1" s="29" t="s">
        <v>181</v>
      </c>
      <c r="H1" s="28" t="s">
        <v>182</v>
      </c>
      <c r="I1" s="28" t="s">
        <v>183</v>
      </c>
    </row>
    <row r="2" spans="1:9" ht="15" customHeight="1">
      <c r="A2" s="30" t="s">
        <v>184</v>
      </c>
      <c r="B2" s="31" t="s">
        <v>185</v>
      </c>
      <c r="C2" s="31" t="s">
        <v>186</v>
      </c>
      <c r="D2" s="31" t="s">
        <v>187</v>
      </c>
      <c r="E2" s="32" t="s">
        <v>188</v>
      </c>
      <c r="F2" s="32" t="s">
        <v>189</v>
      </c>
      <c r="G2" s="33" t="str">
        <f>IF(F2="","",IFERROR(INDEX(담당자마스터!$B$2:$B$300,MATCH(F2,담당자마스터!$A$2:$A$300,0)),"※미등록"))</f>
        <v>김OO</v>
      </c>
      <c r="H2" s="32">
        <v>2</v>
      </c>
      <c r="I2" s="31" t="s">
        <v>190</v>
      </c>
    </row>
    <row r="3" spans="1:9" ht="15" customHeight="1">
      <c r="A3" s="30" t="s">
        <v>191</v>
      </c>
      <c r="B3" s="31" t="s">
        <v>192</v>
      </c>
      <c r="C3" s="31" t="s">
        <v>186</v>
      </c>
      <c r="D3" s="31" t="s">
        <v>193</v>
      </c>
      <c r="E3" s="32" t="s">
        <v>194</v>
      </c>
      <c r="F3" s="32" t="s">
        <v>189</v>
      </c>
      <c r="G3" s="33" t="str">
        <f>IF(F3="","",IFERROR(INDEX(담당자마스터!$B$2:$B$300,MATCH(F3,담당자마스터!$A$2:$A$300,0)),"※미등록"))</f>
        <v>김OO</v>
      </c>
      <c r="H3" s="32">
        <v>3</v>
      </c>
      <c r="I3" s="31" t="s">
        <v>195</v>
      </c>
    </row>
    <row r="4" spans="1:9" ht="15" customHeight="1">
      <c r="A4" s="30"/>
      <c r="B4" s="32"/>
      <c r="C4" s="32"/>
      <c r="D4" s="31"/>
      <c r="E4" s="32"/>
      <c r="F4" s="32"/>
      <c r="G4" s="33" t="str">
        <f>IF(F4="","",IFERROR(INDEX(담당자마스터!$B$2:$B$300,MATCH(F4,담당자마스터!$A$2:$A$300,0)),"※미등록"))</f>
        <v/>
      </c>
      <c r="H4" s="32"/>
      <c r="I4" s="32"/>
    </row>
    <row r="5" spans="1:9" ht="15" customHeight="1">
      <c r="A5" s="30"/>
      <c r="B5" s="32"/>
      <c r="C5" s="32"/>
      <c r="D5" s="31"/>
      <c r="E5" s="32"/>
      <c r="F5" s="32"/>
      <c r="G5" s="33" t="str">
        <f>IF(F5="","",IFERROR(INDEX(담당자마스터!$B$2:$B$300,MATCH(F5,담당자마스터!$A$2:$A$300,0)),"※미등록"))</f>
        <v/>
      </c>
      <c r="H5" s="32"/>
      <c r="I5" s="32"/>
    </row>
    <row r="6" spans="1:9" ht="15" customHeight="1">
      <c r="A6" s="30"/>
      <c r="B6" s="32"/>
      <c r="C6" s="32"/>
      <c r="D6" s="31"/>
      <c r="E6" s="32"/>
      <c r="F6" s="32"/>
      <c r="G6" s="33" t="str">
        <f>IF(F6="","",IFERROR(INDEX(담당자마스터!$B$2:$B$300,MATCH(F6,담당자마스터!$A$2:$A$300,0)),"※미등록"))</f>
        <v/>
      </c>
      <c r="H6" s="32"/>
      <c r="I6" s="32"/>
    </row>
    <row r="7" spans="1:9" ht="15" customHeight="1">
      <c r="A7" s="30"/>
      <c r="B7" s="32"/>
      <c r="C7" s="32"/>
      <c r="D7" s="31"/>
      <c r="E7" s="32"/>
      <c r="F7" s="32"/>
      <c r="G7" s="33" t="str">
        <f>IF(F7="","",IFERROR(INDEX(담당자마스터!$B$2:$B$300,MATCH(F7,담당자마스터!$A$2:$A$300,0)),"※미등록"))</f>
        <v/>
      </c>
      <c r="H7" s="32"/>
      <c r="I7" s="32"/>
    </row>
    <row r="8" spans="1:9" ht="15" customHeight="1">
      <c r="A8" s="30"/>
      <c r="B8" s="32"/>
      <c r="C8" s="32"/>
      <c r="D8" s="31"/>
      <c r="E8" s="32"/>
      <c r="F8" s="32"/>
      <c r="G8" s="33" t="str">
        <f>IF(F8="","",IFERROR(INDEX(담당자마스터!$B$2:$B$300,MATCH(F8,담당자마스터!$A$2:$A$300,0)),"※미등록"))</f>
        <v/>
      </c>
      <c r="H8" s="32"/>
      <c r="I8" s="32"/>
    </row>
    <row r="9" spans="1:9" ht="15" customHeight="1">
      <c r="A9" s="30"/>
      <c r="B9" s="32"/>
      <c r="C9" s="32"/>
      <c r="D9" s="31"/>
      <c r="E9" s="32"/>
      <c r="F9" s="32"/>
      <c r="G9" s="33" t="str">
        <f>IF(F9="","",IFERROR(INDEX(담당자마스터!$B$2:$B$300,MATCH(F9,담당자마스터!$A$2:$A$300,0)),"※미등록"))</f>
        <v/>
      </c>
      <c r="H9" s="32"/>
      <c r="I9" s="32"/>
    </row>
    <row r="10" spans="1:9" ht="15" customHeight="1">
      <c r="A10" s="30"/>
      <c r="B10" s="32"/>
      <c r="C10" s="32"/>
      <c r="D10" s="31"/>
      <c r="E10" s="32"/>
      <c r="F10" s="32"/>
      <c r="G10" s="33" t="str">
        <f>IF(F10="","",IFERROR(INDEX(담당자마스터!$B$2:$B$300,MATCH(F10,담당자마스터!$A$2:$A$300,0)),"※미등록"))</f>
        <v/>
      </c>
      <c r="H10" s="32"/>
      <c r="I10" s="32"/>
    </row>
    <row r="11" spans="1:9" ht="15" customHeight="1">
      <c r="A11" s="30"/>
      <c r="B11" s="32"/>
      <c r="C11" s="32"/>
      <c r="D11" s="31"/>
      <c r="E11" s="32"/>
      <c r="F11" s="32"/>
      <c r="G11" s="33" t="str">
        <f>IF(F11="","",IFERROR(INDEX(담당자마스터!$B$2:$B$300,MATCH(F11,담당자마스터!$A$2:$A$300,0)),"※미등록"))</f>
        <v/>
      </c>
      <c r="H11" s="32"/>
      <c r="I11" s="32"/>
    </row>
    <row r="12" spans="1:9" ht="15" customHeight="1">
      <c r="A12" s="30"/>
      <c r="B12" s="32"/>
      <c r="C12" s="32"/>
      <c r="D12" s="31"/>
      <c r="E12" s="32"/>
      <c r="F12" s="32"/>
      <c r="G12" s="33" t="str">
        <f>IF(F12="","",IFERROR(INDEX(담당자마스터!$B$2:$B$300,MATCH(F12,담당자마스터!$A$2:$A$300,0)),"※미등록"))</f>
        <v/>
      </c>
      <c r="H12" s="32"/>
      <c r="I12" s="32"/>
    </row>
    <row r="13" spans="1:9" ht="15" customHeight="1">
      <c r="A13" s="30"/>
      <c r="B13" s="32"/>
      <c r="C13" s="32"/>
      <c r="D13" s="31"/>
      <c r="E13" s="32"/>
      <c r="F13" s="32"/>
      <c r="G13" s="33" t="str">
        <f>IF(F13="","",IFERROR(INDEX(담당자마스터!$B$2:$B$300,MATCH(F13,담당자마스터!$A$2:$A$300,0)),"※미등록"))</f>
        <v/>
      </c>
      <c r="H13" s="32"/>
      <c r="I13" s="32"/>
    </row>
    <row r="14" spans="1:9" ht="15" customHeight="1">
      <c r="A14" s="30"/>
      <c r="B14" s="32"/>
      <c r="C14" s="32"/>
      <c r="D14" s="31"/>
      <c r="E14" s="32"/>
      <c r="F14" s="32"/>
      <c r="G14" s="33" t="str">
        <f>IF(F14="","",IFERROR(INDEX(담당자마스터!$B$2:$B$300,MATCH(F14,담당자마스터!$A$2:$A$300,0)),"※미등록"))</f>
        <v/>
      </c>
      <c r="H14" s="32"/>
      <c r="I14" s="32"/>
    </row>
    <row r="15" spans="1:9" ht="15" customHeight="1">
      <c r="A15" s="30"/>
      <c r="B15" s="32"/>
      <c r="C15" s="32"/>
      <c r="D15" s="31"/>
      <c r="E15" s="32"/>
      <c r="F15" s="32"/>
      <c r="G15" s="33" t="str">
        <f>IF(F15="","",IFERROR(INDEX(담당자마스터!$B$2:$B$300,MATCH(F15,담당자마스터!$A$2:$A$300,0)),"※미등록"))</f>
        <v/>
      </c>
      <c r="H15" s="32"/>
      <c r="I15" s="32"/>
    </row>
    <row r="16" spans="1:9" ht="15" customHeight="1">
      <c r="A16" s="30"/>
      <c r="B16" s="32"/>
      <c r="C16" s="32"/>
      <c r="D16" s="31"/>
      <c r="E16" s="32"/>
      <c r="F16" s="32"/>
      <c r="G16" s="33" t="str">
        <f>IF(F16="","",IFERROR(INDEX(담당자마스터!$B$2:$B$300,MATCH(F16,담당자마스터!$A$2:$A$300,0)),"※미등록"))</f>
        <v/>
      </c>
      <c r="H16" s="32"/>
      <c r="I16" s="32"/>
    </row>
    <row r="17" spans="1:9" ht="15" customHeight="1">
      <c r="A17" s="30"/>
      <c r="B17" s="32"/>
      <c r="C17" s="32"/>
      <c r="D17" s="31"/>
      <c r="E17" s="32"/>
      <c r="F17" s="32"/>
      <c r="G17" s="33" t="str">
        <f>IF(F17="","",IFERROR(INDEX(담당자마스터!$B$2:$B$300,MATCH(F17,담당자마스터!$A$2:$A$300,0)),"※미등록"))</f>
        <v/>
      </c>
      <c r="H17" s="32"/>
      <c r="I17" s="32"/>
    </row>
    <row r="18" spans="1:9" ht="15" customHeight="1">
      <c r="A18" s="30"/>
      <c r="B18" s="32"/>
      <c r="C18" s="32"/>
      <c r="D18" s="31"/>
      <c r="E18" s="32"/>
      <c r="F18" s="32"/>
      <c r="G18" s="33" t="str">
        <f>IF(F18="","",IFERROR(INDEX(담당자마스터!$B$2:$B$300,MATCH(F18,담당자마스터!$A$2:$A$300,0)),"※미등록"))</f>
        <v/>
      </c>
      <c r="H18" s="32"/>
      <c r="I18" s="32"/>
    </row>
    <row r="19" spans="1:9" ht="15" customHeight="1">
      <c r="A19" s="30"/>
      <c r="B19" s="32"/>
      <c r="C19" s="32"/>
      <c r="D19" s="31"/>
      <c r="E19" s="32"/>
      <c r="F19" s="32"/>
      <c r="G19" s="33" t="str">
        <f>IF(F19="","",IFERROR(INDEX(담당자마스터!$B$2:$B$300,MATCH(F19,담당자마스터!$A$2:$A$300,0)),"※미등록"))</f>
        <v/>
      </c>
      <c r="H19" s="32"/>
      <c r="I19" s="32"/>
    </row>
    <row r="20" spans="1:9" ht="15" customHeight="1">
      <c r="A20" s="30"/>
      <c r="B20" s="32"/>
      <c r="C20" s="32"/>
      <c r="D20" s="31"/>
      <c r="E20" s="32"/>
      <c r="F20" s="32"/>
      <c r="G20" s="33" t="str">
        <f>IF(F20="","",IFERROR(INDEX(담당자마스터!$B$2:$B$300,MATCH(F20,담당자마스터!$A$2:$A$300,0)),"※미등록"))</f>
        <v/>
      </c>
      <c r="H20" s="32"/>
      <c r="I20" s="32"/>
    </row>
    <row r="21" spans="1:9" ht="15" customHeight="1">
      <c r="A21" s="30"/>
      <c r="B21" s="32"/>
      <c r="C21" s="32"/>
      <c r="D21" s="31"/>
      <c r="E21" s="32"/>
      <c r="F21" s="32"/>
      <c r="G21" s="33" t="str">
        <f>IF(F21="","",IFERROR(INDEX(담당자마스터!$B$2:$B$300,MATCH(F21,담당자마스터!$A$2:$A$300,0)),"※미등록"))</f>
        <v/>
      </c>
      <c r="H21" s="32"/>
      <c r="I21" s="32"/>
    </row>
    <row r="22" spans="1:9" ht="15" customHeight="1">
      <c r="A22" s="30"/>
      <c r="B22" s="32"/>
      <c r="C22" s="32"/>
      <c r="D22" s="31"/>
      <c r="E22" s="32"/>
      <c r="F22" s="32"/>
      <c r="G22" s="33" t="str">
        <f>IF(F22="","",IFERROR(INDEX(담당자마스터!$B$2:$B$300,MATCH(F22,담당자마스터!$A$2:$A$300,0)),"※미등록"))</f>
        <v/>
      </c>
      <c r="H22" s="32"/>
      <c r="I22" s="32"/>
    </row>
    <row r="23" spans="1:9" ht="15" customHeight="1">
      <c r="A23" s="30"/>
      <c r="B23" s="32"/>
      <c r="C23" s="32"/>
      <c r="D23" s="31"/>
      <c r="E23" s="32"/>
      <c r="F23" s="32"/>
      <c r="G23" s="33" t="str">
        <f>IF(F23="","",IFERROR(INDEX(담당자마스터!$B$2:$B$300,MATCH(F23,담당자마스터!$A$2:$A$300,0)),"※미등록"))</f>
        <v/>
      </c>
      <c r="H23" s="32"/>
      <c r="I23" s="32"/>
    </row>
    <row r="24" spans="1:9" ht="15" customHeight="1">
      <c r="A24" s="30"/>
      <c r="B24" s="32"/>
      <c r="C24" s="32"/>
      <c r="D24" s="31"/>
      <c r="E24" s="32"/>
      <c r="F24" s="32"/>
      <c r="G24" s="33" t="str">
        <f>IF(F24="","",IFERROR(INDEX(담당자마스터!$B$2:$B$300,MATCH(F24,담당자마스터!$A$2:$A$300,0)),"※미등록"))</f>
        <v/>
      </c>
      <c r="H24" s="32"/>
      <c r="I24" s="32"/>
    </row>
    <row r="25" spans="1:9" ht="15" customHeight="1">
      <c r="A25" s="30"/>
      <c r="B25" s="32"/>
      <c r="C25" s="32"/>
      <c r="D25" s="31"/>
      <c r="E25" s="32"/>
      <c r="F25" s="32"/>
      <c r="G25" s="33" t="str">
        <f>IF(F25="","",IFERROR(INDEX(담당자마스터!$B$2:$B$300,MATCH(F25,담당자마스터!$A$2:$A$300,0)),"※미등록"))</f>
        <v/>
      </c>
      <c r="H25" s="32"/>
      <c r="I25" s="32"/>
    </row>
    <row r="26" spans="1:9" ht="15" customHeight="1">
      <c r="A26" s="30"/>
      <c r="B26" s="32"/>
      <c r="C26" s="32"/>
      <c r="D26" s="31"/>
      <c r="E26" s="32"/>
      <c r="F26" s="32"/>
      <c r="G26" s="33" t="str">
        <f>IF(F26="","",IFERROR(INDEX(담당자마스터!$B$2:$B$300,MATCH(F26,담당자마스터!$A$2:$A$300,0)),"※미등록"))</f>
        <v/>
      </c>
      <c r="H26" s="32"/>
      <c r="I26" s="32"/>
    </row>
    <row r="27" spans="1:9" ht="15" customHeight="1">
      <c r="A27" s="30"/>
      <c r="B27" s="32"/>
      <c r="C27" s="32"/>
      <c r="D27" s="31"/>
      <c r="E27" s="32"/>
      <c r="F27" s="32"/>
      <c r="G27" s="33" t="str">
        <f>IF(F27="","",IFERROR(INDEX(담당자마스터!$B$2:$B$300,MATCH(F27,담당자마스터!$A$2:$A$300,0)),"※미등록"))</f>
        <v/>
      </c>
      <c r="H27" s="32"/>
      <c r="I27" s="32"/>
    </row>
    <row r="28" spans="1:9" ht="15" customHeight="1">
      <c r="A28" s="30"/>
      <c r="B28" s="32"/>
      <c r="C28" s="32"/>
      <c r="D28" s="31"/>
      <c r="E28" s="32"/>
      <c r="F28" s="32"/>
      <c r="G28" s="33" t="str">
        <f>IF(F28="","",IFERROR(INDEX(담당자마스터!$B$2:$B$300,MATCH(F28,담당자마스터!$A$2:$A$300,0)),"※미등록"))</f>
        <v/>
      </c>
      <c r="H28" s="32"/>
      <c r="I28" s="32"/>
    </row>
    <row r="29" spans="1:9" ht="15" customHeight="1">
      <c r="A29" s="30"/>
      <c r="B29" s="32"/>
      <c r="C29" s="32"/>
      <c r="D29" s="31"/>
      <c r="E29" s="32"/>
      <c r="F29" s="32"/>
      <c r="G29" s="33" t="str">
        <f>IF(F29="","",IFERROR(INDEX(담당자마스터!$B$2:$B$300,MATCH(F29,담당자마스터!$A$2:$A$300,0)),"※미등록"))</f>
        <v/>
      </c>
      <c r="H29" s="32"/>
      <c r="I29" s="32"/>
    </row>
    <row r="30" spans="1:9" ht="15" customHeight="1">
      <c r="A30" s="30"/>
      <c r="B30" s="32"/>
      <c r="C30" s="32"/>
      <c r="D30" s="31"/>
      <c r="E30" s="32"/>
      <c r="F30" s="32"/>
      <c r="G30" s="33" t="str">
        <f>IF(F30="","",IFERROR(INDEX(담당자마스터!$B$2:$B$300,MATCH(F30,담당자마스터!$A$2:$A$300,0)),"※미등록"))</f>
        <v/>
      </c>
      <c r="H30" s="32"/>
      <c r="I30" s="32"/>
    </row>
    <row r="31" spans="1:9" ht="15" customHeight="1">
      <c r="A31" s="30"/>
      <c r="B31" s="32"/>
      <c r="C31" s="32"/>
      <c r="D31" s="31"/>
      <c r="E31" s="32"/>
      <c r="F31" s="32"/>
      <c r="G31" s="33" t="str">
        <f>IF(F31="","",IFERROR(INDEX(담당자마스터!$B$2:$B$300,MATCH(F31,담당자마스터!$A$2:$A$300,0)),"※미등록"))</f>
        <v/>
      </c>
      <c r="H31" s="32"/>
      <c r="I31" s="32"/>
    </row>
    <row r="32" spans="1:9" ht="15" customHeight="1">
      <c r="A32" s="30"/>
      <c r="B32" s="32"/>
      <c r="C32" s="32"/>
      <c r="D32" s="31"/>
      <c r="E32" s="32"/>
      <c r="F32" s="32"/>
      <c r="G32" s="33" t="str">
        <f>IF(F32="","",IFERROR(INDEX(담당자마스터!$B$2:$B$300,MATCH(F32,담당자마스터!$A$2:$A$300,0)),"※미등록"))</f>
        <v/>
      </c>
      <c r="H32" s="32"/>
      <c r="I32" s="32"/>
    </row>
    <row r="33" spans="1:9" ht="15" customHeight="1">
      <c r="A33" s="30"/>
      <c r="B33" s="32"/>
      <c r="C33" s="32"/>
      <c r="D33" s="31"/>
      <c r="E33" s="32"/>
      <c r="F33" s="32"/>
      <c r="G33" s="33" t="str">
        <f>IF(F33="","",IFERROR(INDEX(담당자마스터!$B$2:$B$300,MATCH(F33,담당자마스터!$A$2:$A$300,0)),"※미등록"))</f>
        <v/>
      </c>
      <c r="H33" s="32"/>
      <c r="I33" s="32"/>
    </row>
    <row r="34" spans="1:9" ht="15" customHeight="1">
      <c r="A34" s="30"/>
      <c r="B34" s="32"/>
      <c r="C34" s="32"/>
      <c r="D34" s="31"/>
      <c r="E34" s="32"/>
      <c r="F34" s="32"/>
      <c r="G34" s="33" t="str">
        <f>IF(F34="","",IFERROR(INDEX(담당자마스터!$B$2:$B$300,MATCH(F34,담당자마스터!$A$2:$A$300,0)),"※미등록"))</f>
        <v/>
      </c>
      <c r="H34" s="32"/>
      <c r="I34" s="32"/>
    </row>
    <row r="35" spans="1:9" ht="15" customHeight="1">
      <c r="A35" s="30"/>
      <c r="B35" s="32"/>
      <c r="C35" s="32"/>
      <c r="D35" s="31"/>
      <c r="E35" s="32"/>
      <c r="F35" s="32"/>
      <c r="G35" s="33" t="str">
        <f>IF(F35="","",IFERROR(INDEX(담당자마스터!$B$2:$B$300,MATCH(F35,담당자마스터!$A$2:$A$300,0)),"※미등록"))</f>
        <v/>
      </c>
      <c r="H35" s="32"/>
      <c r="I35" s="32"/>
    </row>
    <row r="36" spans="1:9" ht="15" customHeight="1">
      <c r="A36" s="30"/>
      <c r="B36" s="32"/>
      <c r="C36" s="32"/>
      <c r="D36" s="31"/>
      <c r="E36" s="32"/>
      <c r="F36" s="32"/>
      <c r="G36" s="33" t="str">
        <f>IF(F36="","",IFERROR(INDEX(담당자마스터!$B$2:$B$300,MATCH(F36,담당자마스터!$A$2:$A$300,0)),"※미등록"))</f>
        <v/>
      </c>
      <c r="H36" s="32"/>
      <c r="I36" s="32"/>
    </row>
    <row r="37" spans="1:9" ht="15" customHeight="1">
      <c r="A37" s="30"/>
      <c r="B37" s="32"/>
      <c r="C37" s="32"/>
      <c r="D37" s="31"/>
      <c r="E37" s="32"/>
      <c r="F37" s="32"/>
      <c r="G37" s="33" t="str">
        <f>IF(F37="","",IFERROR(INDEX(담당자마스터!$B$2:$B$300,MATCH(F37,담당자마스터!$A$2:$A$300,0)),"※미등록"))</f>
        <v/>
      </c>
      <c r="H37" s="32"/>
      <c r="I37" s="32"/>
    </row>
    <row r="38" spans="1:9" ht="15" customHeight="1">
      <c r="A38" s="30"/>
      <c r="B38" s="32"/>
      <c r="C38" s="32"/>
      <c r="D38" s="31"/>
      <c r="E38" s="32"/>
      <c r="F38" s="32"/>
      <c r="G38" s="33" t="str">
        <f>IF(F38="","",IFERROR(INDEX(담당자마스터!$B$2:$B$300,MATCH(F38,담당자마스터!$A$2:$A$300,0)),"※미등록"))</f>
        <v/>
      </c>
      <c r="H38" s="32"/>
      <c r="I38" s="32"/>
    </row>
    <row r="39" spans="1:9" ht="15" customHeight="1">
      <c r="A39" s="30"/>
      <c r="B39" s="32"/>
      <c r="C39" s="32"/>
      <c r="D39" s="31"/>
      <c r="E39" s="32"/>
      <c r="F39" s="32"/>
      <c r="G39" s="33" t="str">
        <f>IF(F39="","",IFERROR(INDEX(담당자마스터!$B$2:$B$300,MATCH(F39,담당자마스터!$A$2:$A$300,0)),"※미등록"))</f>
        <v/>
      </c>
      <c r="H39" s="32"/>
      <c r="I39" s="32"/>
    </row>
    <row r="40" spans="1:9" ht="15" customHeight="1">
      <c r="A40" s="30"/>
      <c r="B40" s="32"/>
      <c r="C40" s="32"/>
      <c r="D40" s="31"/>
      <c r="E40" s="32"/>
      <c r="F40" s="32"/>
      <c r="G40" s="33" t="str">
        <f>IF(F40="","",IFERROR(INDEX(담당자마스터!$B$2:$B$300,MATCH(F40,담당자마스터!$A$2:$A$300,0)),"※미등록"))</f>
        <v/>
      </c>
      <c r="H40" s="32"/>
      <c r="I40" s="32"/>
    </row>
    <row r="41" spans="1:9" ht="15" customHeight="1">
      <c r="A41" s="30"/>
      <c r="B41" s="32"/>
      <c r="C41" s="32"/>
      <c r="D41" s="31"/>
      <c r="E41" s="32"/>
      <c r="F41" s="32"/>
      <c r="G41" s="33" t="str">
        <f>IF(F41="","",IFERROR(INDEX(담당자마스터!$B$2:$B$300,MATCH(F41,담당자마스터!$A$2:$A$300,0)),"※미등록"))</f>
        <v/>
      </c>
      <c r="H41" s="32"/>
      <c r="I41" s="32"/>
    </row>
    <row r="42" spans="1:9" ht="15" customHeight="1">
      <c r="A42" s="30"/>
      <c r="B42" s="32"/>
      <c r="C42" s="32"/>
      <c r="D42" s="31"/>
      <c r="E42" s="32"/>
      <c r="F42" s="32"/>
      <c r="G42" s="33" t="str">
        <f>IF(F42="","",IFERROR(INDEX(담당자마스터!$B$2:$B$300,MATCH(F42,담당자마스터!$A$2:$A$300,0)),"※미등록"))</f>
        <v/>
      </c>
      <c r="H42" s="32"/>
      <c r="I42" s="32"/>
    </row>
    <row r="43" spans="1:9" ht="15" customHeight="1">
      <c r="A43" s="30"/>
      <c r="B43" s="32"/>
      <c r="C43" s="32"/>
      <c r="D43" s="31"/>
      <c r="E43" s="32"/>
      <c r="F43" s="32"/>
      <c r="G43" s="33" t="str">
        <f>IF(F43="","",IFERROR(INDEX(담당자마스터!$B$2:$B$300,MATCH(F43,담당자마스터!$A$2:$A$300,0)),"※미등록"))</f>
        <v/>
      </c>
      <c r="H43" s="32"/>
      <c r="I43" s="32"/>
    </row>
    <row r="44" spans="1:9" ht="15" customHeight="1">
      <c r="A44" s="30"/>
      <c r="B44" s="32"/>
      <c r="C44" s="32"/>
      <c r="D44" s="31"/>
      <c r="E44" s="32"/>
      <c r="F44" s="32"/>
      <c r="G44" s="33" t="str">
        <f>IF(F44="","",IFERROR(INDEX(담당자마스터!$B$2:$B$300,MATCH(F44,담당자마스터!$A$2:$A$300,0)),"※미등록"))</f>
        <v/>
      </c>
      <c r="H44" s="32"/>
      <c r="I44" s="32"/>
    </row>
    <row r="45" spans="1:9" ht="15" customHeight="1">
      <c r="A45" s="30"/>
      <c r="B45" s="32"/>
      <c r="C45" s="32"/>
      <c r="D45" s="31"/>
      <c r="E45" s="32"/>
      <c r="F45" s="32"/>
      <c r="G45" s="33" t="str">
        <f>IF(F45="","",IFERROR(INDEX(담당자마스터!$B$2:$B$300,MATCH(F45,담당자마스터!$A$2:$A$300,0)),"※미등록"))</f>
        <v/>
      </c>
      <c r="H45" s="32"/>
      <c r="I45" s="32"/>
    </row>
    <row r="46" spans="1:9" ht="15" customHeight="1">
      <c r="A46" s="30"/>
      <c r="B46" s="32"/>
      <c r="C46" s="32"/>
      <c r="D46" s="31"/>
      <c r="E46" s="32"/>
      <c r="F46" s="32"/>
      <c r="G46" s="33" t="str">
        <f>IF(F46="","",IFERROR(INDEX(담당자마스터!$B$2:$B$300,MATCH(F46,담당자마스터!$A$2:$A$300,0)),"※미등록"))</f>
        <v/>
      </c>
      <c r="H46" s="32"/>
      <c r="I46" s="32"/>
    </row>
    <row r="47" spans="1:9" ht="15" customHeight="1">
      <c r="A47" s="30"/>
      <c r="B47" s="32"/>
      <c r="C47" s="32"/>
      <c r="D47" s="31"/>
      <c r="E47" s="32"/>
      <c r="F47" s="32"/>
      <c r="G47" s="33" t="str">
        <f>IF(F47="","",IFERROR(INDEX(담당자마스터!$B$2:$B$300,MATCH(F47,담당자마스터!$A$2:$A$300,0)),"※미등록"))</f>
        <v/>
      </c>
      <c r="H47" s="32"/>
      <c r="I47" s="32"/>
    </row>
    <row r="48" spans="1:9" ht="15" customHeight="1">
      <c r="A48" s="30"/>
      <c r="B48" s="32"/>
      <c r="C48" s="32"/>
      <c r="D48" s="31"/>
      <c r="E48" s="32"/>
      <c r="F48" s="32"/>
      <c r="G48" s="33" t="str">
        <f>IF(F48="","",IFERROR(INDEX(담당자마스터!$B$2:$B$300,MATCH(F48,담당자마스터!$A$2:$A$300,0)),"※미등록"))</f>
        <v/>
      </c>
      <c r="H48" s="32"/>
      <c r="I48" s="32"/>
    </row>
    <row r="49" spans="1:9" ht="15" customHeight="1">
      <c r="A49" s="30"/>
      <c r="B49" s="32"/>
      <c r="C49" s="32"/>
      <c r="D49" s="31"/>
      <c r="E49" s="32"/>
      <c r="F49" s="32"/>
      <c r="G49" s="33" t="str">
        <f>IF(F49="","",IFERROR(INDEX(담당자마스터!$B$2:$B$300,MATCH(F49,담당자마스터!$A$2:$A$300,0)),"※미등록"))</f>
        <v/>
      </c>
      <c r="H49" s="32"/>
      <c r="I49" s="32"/>
    </row>
    <row r="50" spans="1:9" ht="15" customHeight="1">
      <c r="A50" s="30"/>
      <c r="B50" s="32"/>
      <c r="C50" s="32"/>
      <c r="D50" s="31"/>
      <c r="E50" s="32"/>
      <c r="F50" s="32"/>
      <c r="G50" s="33" t="str">
        <f>IF(F50="","",IFERROR(INDEX(담당자마스터!$B$2:$B$300,MATCH(F50,담당자마스터!$A$2:$A$300,0)),"※미등록"))</f>
        <v/>
      </c>
      <c r="H50" s="32"/>
      <c r="I50" s="32"/>
    </row>
    <row r="51" spans="1:9" ht="15" customHeight="1">
      <c r="A51" s="30"/>
      <c r="B51" s="32"/>
      <c r="C51" s="32"/>
      <c r="D51" s="31"/>
      <c r="E51" s="32"/>
      <c r="F51" s="32"/>
      <c r="G51" s="33" t="str">
        <f>IF(F51="","",IFERROR(INDEX(담당자마스터!$B$2:$B$300,MATCH(F51,담당자마스터!$A$2:$A$300,0)),"※미등록"))</f>
        <v/>
      </c>
      <c r="H51" s="32"/>
      <c r="I51" s="32"/>
    </row>
    <row r="52" spans="1:9" ht="15" customHeight="1">
      <c r="A52" s="30"/>
      <c r="B52" s="32"/>
      <c r="C52" s="32"/>
      <c r="D52" s="31"/>
      <c r="E52" s="32"/>
      <c r="F52" s="32"/>
      <c r="G52" s="33" t="str">
        <f>IF(F52="","",IFERROR(INDEX(담당자마스터!$B$2:$B$300,MATCH(F52,담당자마스터!$A$2:$A$300,0)),"※미등록"))</f>
        <v/>
      </c>
      <c r="H52" s="32"/>
      <c r="I52" s="32"/>
    </row>
    <row r="53" spans="1:9" ht="15" customHeight="1">
      <c r="A53" s="30"/>
      <c r="B53" s="32"/>
      <c r="C53" s="32"/>
      <c r="D53" s="31"/>
      <c r="E53" s="32"/>
      <c r="F53" s="32"/>
      <c r="G53" s="33" t="str">
        <f>IF(F53="","",IFERROR(INDEX(담당자마스터!$B$2:$B$300,MATCH(F53,담당자마스터!$A$2:$A$300,0)),"※미등록"))</f>
        <v/>
      </c>
      <c r="H53" s="32"/>
      <c r="I53" s="32"/>
    </row>
    <row r="54" spans="1:9" ht="15" customHeight="1">
      <c r="A54" s="30"/>
      <c r="B54" s="32"/>
      <c r="C54" s="32"/>
      <c r="D54" s="31"/>
      <c r="E54" s="32"/>
      <c r="F54" s="32"/>
      <c r="G54" s="33" t="str">
        <f>IF(F54="","",IFERROR(INDEX(담당자마스터!$B$2:$B$300,MATCH(F54,담당자마스터!$A$2:$A$300,0)),"※미등록"))</f>
        <v/>
      </c>
      <c r="H54" s="32"/>
      <c r="I54" s="32"/>
    </row>
    <row r="55" spans="1:9" ht="15" customHeight="1">
      <c r="A55" s="30"/>
      <c r="B55" s="32"/>
      <c r="C55" s="32"/>
      <c r="D55" s="31"/>
      <c r="E55" s="32"/>
      <c r="F55" s="32"/>
      <c r="G55" s="33" t="str">
        <f>IF(F55="","",IFERROR(INDEX(담당자마스터!$B$2:$B$300,MATCH(F55,담당자마스터!$A$2:$A$300,0)),"※미등록"))</f>
        <v/>
      </c>
      <c r="H55" s="32"/>
      <c r="I55" s="32"/>
    </row>
    <row r="56" spans="1:9" ht="15" customHeight="1">
      <c r="A56" s="30"/>
      <c r="B56" s="32"/>
      <c r="C56" s="32"/>
      <c r="D56" s="31"/>
      <c r="E56" s="32"/>
      <c r="F56" s="32"/>
      <c r="G56" s="33" t="str">
        <f>IF(F56="","",IFERROR(INDEX(담당자마스터!$B$2:$B$300,MATCH(F56,담당자마스터!$A$2:$A$300,0)),"※미등록"))</f>
        <v/>
      </c>
      <c r="H56" s="32"/>
      <c r="I56" s="32"/>
    </row>
    <row r="57" spans="1:9" ht="15" customHeight="1">
      <c r="A57" s="30"/>
      <c r="B57" s="32"/>
      <c r="C57" s="32"/>
      <c r="D57" s="31"/>
      <c r="E57" s="32"/>
      <c r="F57" s="32"/>
      <c r="G57" s="33" t="str">
        <f>IF(F57="","",IFERROR(INDEX(담당자마스터!$B$2:$B$300,MATCH(F57,담당자마스터!$A$2:$A$300,0)),"※미등록"))</f>
        <v/>
      </c>
      <c r="H57" s="32"/>
      <c r="I57" s="32"/>
    </row>
    <row r="58" spans="1:9" ht="15" customHeight="1">
      <c r="A58" s="30"/>
      <c r="B58" s="32"/>
      <c r="C58" s="32"/>
      <c r="D58" s="31"/>
      <c r="E58" s="32"/>
      <c r="F58" s="32"/>
      <c r="G58" s="33" t="str">
        <f>IF(F58="","",IFERROR(INDEX(담당자마스터!$B$2:$B$300,MATCH(F58,담당자마스터!$A$2:$A$300,0)),"※미등록"))</f>
        <v/>
      </c>
      <c r="H58" s="32"/>
      <c r="I58" s="32"/>
    </row>
    <row r="59" spans="1:9" ht="15" customHeight="1">
      <c r="A59" s="30"/>
      <c r="B59" s="32"/>
      <c r="C59" s="32"/>
      <c r="D59" s="31"/>
      <c r="E59" s="32"/>
      <c r="F59" s="32"/>
      <c r="G59" s="33" t="str">
        <f>IF(F59="","",IFERROR(INDEX(담당자마스터!$B$2:$B$300,MATCH(F59,담당자마스터!$A$2:$A$300,0)),"※미등록"))</f>
        <v/>
      </c>
      <c r="H59" s="32"/>
      <c r="I59" s="32"/>
    </row>
    <row r="60" spans="1:9" ht="15" customHeight="1">
      <c r="A60" s="30"/>
      <c r="B60" s="32"/>
      <c r="C60" s="32"/>
      <c r="D60" s="31"/>
      <c r="E60" s="32"/>
      <c r="F60" s="32"/>
      <c r="G60" s="33" t="str">
        <f>IF(F60="","",IFERROR(INDEX(담당자마스터!$B$2:$B$300,MATCH(F60,담당자마스터!$A$2:$A$300,0)),"※미등록"))</f>
        <v/>
      </c>
      <c r="H60" s="32"/>
      <c r="I60" s="32"/>
    </row>
    <row r="61" spans="1:9" ht="15" customHeight="1">
      <c r="A61" s="30"/>
      <c r="B61" s="32"/>
      <c r="C61" s="32"/>
      <c r="D61" s="31"/>
      <c r="E61" s="32"/>
      <c r="F61" s="32"/>
      <c r="G61" s="33" t="str">
        <f>IF(F61="","",IFERROR(INDEX(담당자마스터!$B$2:$B$300,MATCH(F61,담당자마스터!$A$2:$A$300,0)),"※미등록"))</f>
        <v/>
      </c>
      <c r="H61" s="32"/>
      <c r="I61" s="32"/>
    </row>
    <row r="62" spans="1:9" ht="15" customHeight="1">
      <c r="A62" s="30"/>
      <c r="B62" s="32"/>
      <c r="C62" s="32"/>
      <c r="D62" s="31"/>
      <c r="E62" s="32"/>
      <c r="F62" s="32"/>
      <c r="G62" s="33" t="str">
        <f>IF(F62="","",IFERROR(INDEX(담당자마스터!$B$2:$B$300,MATCH(F62,담당자마스터!$A$2:$A$300,0)),"※미등록"))</f>
        <v/>
      </c>
      <c r="H62" s="32"/>
      <c r="I62" s="32"/>
    </row>
    <row r="63" spans="1:9" ht="15" customHeight="1">
      <c r="A63" s="30"/>
      <c r="B63" s="32"/>
      <c r="C63" s="32"/>
      <c r="D63" s="31"/>
      <c r="E63" s="32"/>
      <c r="F63" s="32"/>
      <c r="G63" s="33" t="str">
        <f>IF(F63="","",IFERROR(INDEX(담당자마스터!$B$2:$B$300,MATCH(F63,담당자마스터!$A$2:$A$300,0)),"※미등록"))</f>
        <v/>
      </c>
      <c r="H63" s="32"/>
      <c r="I63" s="32"/>
    </row>
    <row r="64" spans="1:9" ht="15" customHeight="1">
      <c r="A64" s="30"/>
      <c r="B64" s="32"/>
      <c r="C64" s="32"/>
      <c r="D64" s="31"/>
      <c r="E64" s="32"/>
      <c r="F64" s="32"/>
      <c r="G64" s="33" t="str">
        <f>IF(F64="","",IFERROR(INDEX(담당자마스터!$B$2:$B$300,MATCH(F64,담당자마스터!$A$2:$A$300,0)),"※미등록"))</f>
        <v/>
      </c>
      <c r="H64" s="32"/>
      <c r="I64" s="32"/>
    </row>
    <row r="65" spans="1:9" ht="15" customHeight="1">
      <c r="A65" s="30"/>
      <c r="B65" s="32"/>
      <c r="C65" s="32"/>
      <c r="D65" s="31"/>
      <c r="E65" s="32"/>
      <c r="F65" s="32"/>
      <c r="G65" s="33" t="str">
        <f>IF(F65="","",IFERROR(INDEX(담당자마스터!$B$2:$B$300,MATCH(F65,담당자마스터!$A$2:$A$300,0)),"※미등록"))</f>
        <v/>
      </c>
      <c r="H65" s="32"/>
      <c r="I65" s="32"/>
    </row>
    <row r="66" spans="1:9" ht="15" customHeight="1">
      <c r="A66" s="30"/>
      <c r="B66" s="32"/>
      <c r="C66" s="32"/>
      <c r="D66" s="31"/>
      <c r="E66" s="32"/>
      <c r="F66" s="32"/>
      <c r="G66" s="33" t="str">
        <f>IF(F66="","",IFERROR(INDEX(담당자마스터!$B$2:$B$300,MATCH(F66,담당자마스터!$A$2:$A$300,0)),"※미등록"))</f>
        <v/>
      </c>
      <c r="H66" s="32"/>
      <c r="I66" s="32"/>
    </row>
    <row r="67" spans="1:9" ht="15" customHeight="1">
      <c r="A67" s="30"/>
      <c r="B67" s="32"/>
      <c r="C67" s="32"/>
      <c r="D67" s="31"/>
      <c r="E67" s="32"/>
      <c r="F67" s="32"/>
      <c r="G67" s="33" t="str">
        <f>IF(F67="","",IFERROR(INDEX(담당자마스터!$B$2:$B$300,MATCH(F67,담당자마스터!$A$2:$A$300,0)),"※미등록"))</f>
        <v/>
      </c>
      <c r="H67" s="32"/>
      <c r="I67" s="32"/>
    </row>
    <row r="68" spans="1:9" ht="15" customHeight="1">
      <c r="A68" s="30"/>
      <c r="B68" s="32"/>
      <c r="C68" s="32"/>
      <c r="D68" s="31"/>
      <c r="E68" s="32"/>
      <c r="F68" s="32"/>
      <c r="G68" s="33" t="str">
        <f>IF(F68="","",IFERROR(INDEX(담당자마스터!$B$2:$B$300,MATCH(F68,담당자마스터!$A$2:$A$300,0)),"※미등록"))</f>
        <v/>
      </c>
      <c r="H68" s="32"/>
      <c r="I68" s="32"/>
    </row>
    <row r="69" spans="1:9" ht="15" customHeight="1">
      <c r="A69" s="30"/>
      <c r="B69" s="32"/>
      <c r="C69" s="32"/>
      <c r="D69" s="31"/>
      <c r="E69" s="32"/>
      <c r="F69" s="32"/>
      <c r="G69" s="33" t="str">
        <f>IF(F69="","",IFERROR(INDEX(담당자마스터!$B$2:$B$300,MATCH(F69,담당자마스터!$A$2:$A$300,0)),"※미등록"))</f>
        <v/>
      </c>
      <c r="H69" s="32"/>
      <c r="I69" s="32"/>
    </row>
    <row r="70" spans="1:9" ht="15" customHeight="1">
      <c r="A70" s="30"/>
      <c r="B70" s="32"/>
      <c r="C70" s="32"/>
      <c r="D70" s="31"/>
      <c r="E70" s="32"/>
      <c r="F70" s="32"/>
      <c r="G70" s="33" t="str">
        <f>IF(F70="","",IFERROR(INDEX(담당자마스터!$B$2:$B$300,MATCH(F70,담당자마스터!$A$2:$A$300,0)),"※미등록"))</f>
        <v/>
      </c>
      <c r="H70" s="32"/>
      <c r="I70" s="32"/>
    </row>
    <row r="71" spans="1:9" ht="15" customHeight="1">
      <c r="A71" s="30"/>
      <c r="B71" s="32"/>
      <c r="C71" s="32"/>
      <c r="D71" s="31"/>
      <c r="E71" s="32"/>
      <c r="F71" s="32"/>
      <c r="G71" s="33" t="str">
        <f>IF(F71="","",IFERROR(INDEX(담당자마스터!$B$2:$B$300,MATCH(F71,담당자마스터!$A$2:$A$300,0)),"※미등록"))</f>
        <v/>
      </c>
      <c r="H71" s="32"/>
      <c r="I71" s="32"/>
    </row>
    <row r="72" spans="1:9" ht="15" customHeight="1">
      <c r="A72" s="30"/>
      <c r="B72" s="32"/>
      <c r="C72" s="32"/>
      <c r="D72" s="31"/>
      <c r="E72" s="32"/>
      <c r="F72" s="32"/>
      <c r="G72" s="33" t="str">
        <f>IF(F72="","",IFERROR(INDEX(담당자마스터!$B$2:$B$300,MATCH(F72,담당자마스터!$A$2:$A$300,0)),"※미등록"))</f>
        <v/>
      </c>
      <c r="H72" s="32"/>
      <c r="I72" s="32"/>
    </row>
    <row r="73" spans="1:9" ht="15" customHeight="1">
      <c r="A73" s="30"/>
      <c r="B73" s="32"/>
      <c r="C73" s="32"/>
      <c r="D73" s="31"/>
      <c r="E73" s="32"/>
      <c r="F73" s="32"/>
      <c r="G73" s="33" t="str">
        <f>IF(F73="","",IFERROR(INDEX(담당자마스터!$B$2:$B$300,MATCH(F73,담당자마스터!$A$2:$A$300,0)),"※미등록"))</f>
        <v/>
      </c>
      <c r="H73" s="32"/>
      <c r="I73" s="32"/>
    </row>
    <row r="74" spans="1:9" ht="15" customHeight="1">
      <c r="A74" s="30"/>
      <c r="B74" s="32"/>
      <c r="C74" s="32"/>
      <c r="D74" s="31"/>
      <c r="E74" s="32"/>
      <c r="F74" s="32"/>
      <c r="G74" s="33" t="str">
        <f>IF(F74="","",IFERROR(INDEX(담당자마스터!$B$2:$B$300,MATCH(F74,담당자마스터!$A$2:$A$300,0)),"※미등록"))</f>
        <v/>
      </c>
      <c r="H74" s="32"/>
      <c r="I74" s="32"/>
    </row>
    <row r="75" spans="1:9" ht="15" customHeight="1">
      <c r="A75" s="30"/>
      <c r="B75" s="32"/>
      <c r="C75" s="32"/>
      <c r="D75" s="31"/>
      <c r="E75" s="32"/>
      <c r="F75" s="32"/>
      <c r="G75" s="33" t="str">
        <f>IF(F75="","",IFERROR(INDEX(담당자마스터!$B$2:$B$300,MATCH(F75,담당자마스터!$A$2:$A$300,0)),"※미등록"))</f>
        <v/>
      </c>
      <c r="H75" s="32"/>
      <c r="I75" s="32"/>
    </row>
    <row r="76" spans="1:9" ht="15" customHeight="1">
      <c r="A76" s="30"/>
      <c r="B76" s="32"/>
      <c r="C76" s="32"/>
      <c r="D76" s="31"/>
      <c r="E76" s="32"/>
      <c r="F76" s="32"/>
      <c r="G76" s="33" t="str">
        <f>IF(F76="","",IFERROR(INDEX(담당자마스터!$B$2:$B$300,MATCH(F76,담당자마스터!$A$2:$A$300,0)),"※미등록"))</f>
        <v/>
      </c>
      <c r="H76" s="32"/>
      <c r="I76" s="32"/>
    </row>
    <row r="77" spans="1:9" ht="15" customHeight="1">
      <c r="A77" s="30"/>
      <c r="B77" s="32"/>
      <c r="C77" s="32"/>
      <c r="D77" s="31"/>
      <c r="E77" s="32"/>
      <c r="F77" s="32"/>
      <c r="G77" s="33" t="str">
        <f>IF(F77="","",IFERROR(INDEX(담당자마스터!$B$2:$B$300,MATCH(F77,담당자마스터!$A$2:$A$300,0)),"※미등록"))</f>
        <v/>
      </c>
      <c r="H77" s="32"/>
      <c r="I77" s="32"/>
    </row>
    <row r="78" spans="1:9" ht="15" customHeight="1">
      <c r="A78" s="30"/>
      <c r="B78" s="32"/>
      <c r="C78" s="32"/>
      <c r="D78" s="31"/>
      <c r="E78" s="32"/>
      <c r="F78" s="32"/>
      <c r="G78" s="33" t="str">
        <f>IF(F78="","",IFERROR(INDEX(담당자마스터!$B$2:$B$300,MATCH(F78,담당자마스터!$A$2:$A$300,0)),"※미등록"))</f>
        <v/>
      </c>
      <c r="H78" s="32"/>
      <c r="I78" s="32"/>
    </row>
    <row r="79" spans="1:9" ht="15" customHeight="1">
      <c r="A79" s="30"/>
      <c r="B79" s="32"/>
      <c r="C79" s="32"/>
      <c r="D79" s="31"/>
      <c r="E79" s="32"/>
      <c r="F79" s="32"/>
      <c r="G79" s="33" t="str">
        <f>IF(F79="","",IFERROR(INDEX(담당자마스터!$B$2:$B$300,MATCH(F79,담당자마스터!$A$2:$A$300,0)),"※미등록"))</f>
        <v/>
      </c>
      <c r="H79" s="32"/>
      <c r="I79" s="32"/>
    </row>
    <row r="80" spans="1:9" ht="15" customHeight="1">
      <c r="A80" s="30"/>
      <c r="B80" s="32"/>
      <c r="C80" s="32"/>
      <c r="D80" s="31"/>
      <c r="E80" s="32"/>
      <c r="F80" s="32"/>
      <c r="G80" s="33" t="str">
        <f>IF(F80="","",IFERROR(INDEX(담당자마스터!$B$2:$B$300,MATCH(F80,담당자마스터!$A$2:$A$300,0)),"※미등록"))</f>
        <v/>
      </c>
      <c r="H80" s="32"/>
      <c r="I80" s="32"/>
    </row>
    <row r="81" spans="1:9" ht="15" customHeight="1">
      <c r="A81" s="30"/>
      <c r="B81" s="32"/>
      <c r="C81" s="32"/>
      <c r="D81" s="31"/>
      <c r="E81" s="32"/>
      <c r="F81" s="32"/>
      <c r="G81" s="33" t="str">
        <f>IF(F81="","",IFERROR(INDEX(담당자마스터!$B$2:$B$300,MATCH(F81,담당자마스터!$A$2:$A$300,0)),"※미등록"))</f>
        <v/>
      </c>
      <c r="H81" s="32"/>
      <c r="I81" s="32"/>
    </row>
    <row r="82" spans="1:9" ht="15" customHeight="1">
      <c r="A82" s="30"/>
      <c r="B82" s="32"/>
      <c r="C82" s="32"/>
      <c r="D82" s="31"/>
      <c r="E82" s="32"/>
      <c r="F82" s="32"/>
      <c r="G82" s="33" t="str">
        <f>IF(F82="","",IFERROR(INDEX(담당자마스터!$B$2:$B$300,MATCH(F82,담당자마스터!$A$2:$A$300,0)),"※미등록"))</f>
        <v/>
      </c>
      <c r="H82" s="32"/>
      <c r="I82" s="32"/>
    </row>
    <row r="83" spans="1:9" ht="15" customHeight="1">
      <c r="A83" s="30"/>
      <c r="B83" s="32"/>
      <c r="C83" s="32"/>
      <c r="D83" s="31"/>
      <c r="E83" s="32"/>
      <c r="F83" s="32"/>
      <c r="G83" s="33" t="str">
        <f>IF(F83="","",IFERROR(INDEX(담당자마스터!$B$2:$B$300,MATCH(F83,담당자마스터!$A$2:$A$300,0)),"※미등록"))</f>
        <v/>
      </c>
      <c r="H83" s="32"/>
      <c r="I83" s="32"/>
    </row>
    <row r="84" spans="1:9" ht="15" customHeight="1">
      <c r="A84" s="30"/>
      <c r="B84" s="32"/>
      <c r="C84" s="32"/>
      <c r="D84" s="31"/>
      <c r="E84" s="32"/>
      <c r="F84" s="32"/>
      <c r="G84" s="33" t="str">
        <f>IF(F84="","",IFERROR(INDEX(담당자마스터!$B$2:$B$300,MATCH(F84,담당자마스터!$A$2:$A$300,0)),"※미등록"))</f>
        <v/>
      </c>
      <c r="H84" s="32"/>
      <c r="I84" s="32"/>
    </row>
    <row r="85" spans="1:9" ht="15" customHeight="1">
      <c r="A85" s="30"/>
      <c r="B85" s="32"/>
      <c r="C85" s="32"/>
      <c r="D85" s="31"/>
      <c r="E85" s="32"/>
      <c r="F85" s="32"/>
      <c r="G85" s="33" t="str">
        <f>IF(F85="","",IFERROR(INDEX(담당자마스터!$B$2:$B$300,MATCH(F85,담당자마스터!$A$2:$A$300,0)),"※미등록"))</f>
        <v/>
      </c>
      <c r="H85" s="32"/>
      <c r="I85" s="32"/>
    </row>
    <row r="86" spans="1:9" ht="15" customHeight="1">
      <c r="A86" s="30"/>
      <c r="B86" s="32"/>
      <c r="C86" s="32"/>
      <c r="D86" s="31"/>
      <c r="E86" s="32"/>
      <c r="F86" s="32"/>
      <c r="G86" s="33" t="str">
        <f>IF(F86="","",IFERROR(INDEX(담당자마스터!$B$2:$B$300,MATCH(F86,담당자마스터!$A$2:$A$300,0)),"※미등록"))</f>
        <v/>
      </c>
      <c r="H86" s="32"/>
      <c r="I86" s="32"/>
    </row>
    <row r="87" spans="1:9" ht="15" customHeight="1">
      <c r="A87" s="30"/>
      <c r="B87" s="32"/>
      <c r="C87" s="32"/>
      <c r="D87" s="31"/>
      <c r="E87" s="32"/>
      <c r="F87" s="32"/>
      <c r="G87" s="33" t="str">
        <f>IF(F87="","",IFERROR(INDEX(담당자마스터!$B$2:$B$300,MATCH(F87,담당자마스터!$A$2:$A$300,0)),"※미등록"))</f>
        <v/>
      </c>
      <c r="H87" s="32"/>
      <c r="I87" s="32"/>
    </row>
    <row r="88" spans="1:9" ht="15" customHeight="1">
      <c r="A88" s="30"/>
      <c r="B88" s="32"/>
      <c r="C88" s="32"/>
      <c r="D88" s="31"/>
      <c r="E88" s="32"/>
      <c r="F88" s="32"/>
      <c r="G88" s="33" t="str">
        <f>IF(F88="","",IFERROR(INDEX(담당자마스터!$B$2:$B$300,MATCH(F88,담당자마스터!$A$2:$A$300,0)),"※미등록"))</f>
        <v/>
      </c>
      <c r="H88" s="32"/>
      <c r="I88" s="32"/>
    </row>
    <row r="89" spans="1:9" ht="15" customHeight="1">
      <c r="A89" s="30"/>
      <c r="B89" s="32"/>
      <c r="C89" s="32"/>
      <c r="D89" s="31"/>
      <c r="E89" s="32"/>
      <c r="F89" s="32"/>
      <c r="G89" s="33" t="str">
        <f>IF(F89="","",IFERROR(INDEX(담당자마스터!$B$2:$B$300,MATCH(F89,담당자마스터!$A$2:$A$300,0)),"※미등록"))</f>
        <v/>
      </c>
      <c r="H89" s="32"/>
      <c r="I89" s="32"/>
    </row>
    <row r="90" spans="1:9" ht="15" customHeight="1">
      <c r="A90" s="30"/>
      <c r="B90" s="32"/>
      <c r="C90" s="32"/>
      <c r="D90" s="31"/>
      <c r="E90" s="32"/>
      <c r="F90" s="32"/>
      <c r="G90" s="33" t="str">
        <f>IF(F90="","",IFERROR(INDEX(담당자마스터!$B$2:$B$300,MATCH(F90,담당자마스터!$A$2:$A$300,0)),"※미등록"))</f>
        <v/>
      </c>
      <c r="H90" s="32"/>
      <c r="I90" s="32"/>
    </row>
    <row r="91" spans="1:9" ht="15" customHeight="1">
      <c r="A91" s="30"/>
      <c r="B91" s="32"/>
      <c r="C91" s="32"/>
      <c r="D91" s="31"/>
      <c r="E91" s="32"/>
      <c r="F91" s="32"/>
      <c r="G91" s="33" t="str">
        <f>IF(F91="","",IFERROR(INDEX(담당자마스터!$B$2:$B$300,MATCH(F91,담당자마스터!$A$2:$A$300,0)),"※미등록"))</f>
        <v/>
      </c>
      <c r="H91" s="32"/>
      <c r="I91" s="32"/>
    </row>
    <row r="92" spans="1:9" ht="15" customHeight="1">
      <c r="A92" s="30"/>
      <c r="B92" s="32"/>
      <c r="C92" s="32"/>
      <c r="D92" s="31"/>
      <c r="E92" s="32"/>
      <c r="F92" s="32"/>
      <c r="G92" s="33" t="str">
        <f>IF(F92="","",IFERROR(INDEX(담당자마스터!$B$2:$B$300,MATCH(F92,담당자마스터!$A$2:$A$300,0)),"※미등록"))</f>
        <v/>
      </c>
      <c r="H92" s="32"/>
      <c r="I92" s="32"/>
    </row>
    <row r="93" spans="1:9" ht="15" customHeight="1">
      <c r="A93" s="30"/>
      <c r="B93" s="32"/>
      <c r="C93" s="32"/>
      <c r="D93" s="31"/>
      <c r="E93" s="32"/>
      <c r="F93" s="32"/>
      <c r="G93" s="33" t="str">
        <f>IF(F93="","",IFERROR(INDEX(담당자마스터!$B$2:$B$300,MATCH(F93,담당자마스터!$A$2:$A$300,0)),"※미등록"))</f>
        <v/>
      </c>
      <c r="H93" s="32"/>
      <c r="I93" s="32"/>
    </row>
    <row r="94" spans="1:9" ht="15" customHeight="1">
      <c r="A94" s="30"/>
      <c r="B94" s="32"/>
      <c r="C94" s="32"/>
      <c r="D94" s="31"/>
      <c r="E94" s="32"/>
      <c r="F94" s="32"/>
      <c r="G94" s="33" t="str">
        <f>IF(F94="","",IFERROR(INDEX(담당자마스터!$B$2:$B$300,MATCH(F94,담당자마스터!$A$2:$A$300,0)),"※미등록"))</f>
        <v/>
      </c>
      <c r="H94" s="32"/>
      <c r="I94" s="32"/>
    </row>
    <row r="95" spans="1:9" ht="15" customHeight="1">
      <c r="A95" s="30"/>
      <c r="B95" s="32"/>
      <c r="C95" s="32"/>
      <c r="D95" s="31"/>
      <c r="E95" s="32"/>
      <c r="F95" s="32"/>
      <c r="G95" s="33" t="str">
        <f>IF(F95="","",IFERROR(INDEX(담당자마스터!$B$2:$B$300,MATCH(F95,담당자마스터!$A$2:$A$300,0)),"※미등록"))</f>
        <v/>
      </c>
      <c r="H95" s="32"/>
      <c r="I95" s="32"/>
    </row>
    <row r="96" spans="1:9" ht="15" customHeight="1">
      <c r="A96" s="30"/>
      <c r="B96" s="32"/>
      <c r="C96" s="32"/>
      <c r="D96" s="31"/>
      <c r="E96" s="32"/>
      <c r="F96" s="32"/>
      <c r="G96" s="33" t="str">
        <f>IF(F96="","",IFERROR(INDEX(담당자마스터!$B$2:$B$300,MATCH(F96,담당자마스터!$A$2:$A$300,0)),"※미등록"))</f>
        <v/>
      </c>
      <c r="H96" s="32"/>
      <c r="I96" s="32"/>
    </row>
    <row r="97" spans="1:9" ht="15" customHeight="1">
      <c r="A97" s="30"/>
      <c r="B97" s="32"/>
      <c r="C97" s="32"/>
      <c r="D97" s="31"/>
      <c r="E97" s="32"/>
      <c r="F97" s="32"/>
      <c r="G97" s="33" t="str">
        <f>IF(F97="","",IFERROR(INDEX(담당자마스터!$B$2:$B$300,MATCH(F97,담당자마스터!$A$2:$A$300,0)),"※미등록"))</f>
        <v/>
      </c>
      <c r="H97" s="32"/>
      <c r="I97" s="32"/>
    </row>
    <row r="98" spans="1:9" ht="15" customHeight="1">
      <c r="A98" s="30"/>
      <c r="B98" s="32"/>
      <c r="C98" s="32"/>
      <c r="D98" s="31"/>
      <c r="E98" s="32"/>
      <c r="F98" s="32"/>
      <c r="G98" s="33" t="str">
        <f>IF(F98="","",IFERROR(INDEX(담당자마스터!$B$2:$B$300,MATCH(F98,담당자마스터!$A$2:$A$300,0)),"※미등록"))</f>
        <v/>
      </c>
      <c r="H98" s="32"/>
      <c r="I98" s="32"/>
    </row>
    <row r="99" spans="1:9" ht="15" customHeight="1">
      <c r="A99" s="30"/>
      <c r="B99" s="32"/>
      <c r="C99" s="32"/>
      <c r="D99" s="31"/>
      <c r="E99" s="32"/>
      <c r="F99" s="32"/>
      <c r="G99" s="33" t="str">
        <f>IF(F99="","",IFERROR(INDEX(담당자마스터!$B$2:$B$300,MATCH(F99,담당자마스터!$A$2:$A$300,0)),"※미등록"))</f>
        <v/>
      </c>
      <c r="H99" s="32"/>
      <c r="I99" s="32"/>
    </row>
    <row r="100" spans="1:9" ht="15" customHeight="1">
      <c r="A100" s="30"/>
      <c r="B100" s="32"/>
      <c r="C100" s="32"/>
      <c r="D100" s="31"/>
      <c r="E100" s="32"/>
      <c r="F100" s="32"/>
      <c r="G100" s="33" t="str">
        <f>IF(F100="","",IFERROR(INDEX(담당자마스터!$B$2:$B$300,MATCH(F100,담당자마스터!$A$2:$A$300,0)),"※미등록"))</f>
        <v/>
      </c>
      <c r="H100" s="32"/>
      <c r="I100" s="32"/>
    </row>
    <row r="101" spans="1:9" ht="15" customHeight="1">
      <c r="A101" s="30"/>
      <c r="B101" s="32"/>
      <c r="C101" s="32"/>
      <c r="D101" s="31"/>
      <c r="E101" s="32"/>
      <c r="F101" s="32"/>
      <c r="G101" s="33" t="str">
        <f>IF(F101="","",IFERROR(INDEX(담당자마스터!$B$2:$B$300,MATCH(F101,담당자마스터!$A$2:$A$300,0)),"※미등록"))</f>
        <v/>
      </c>
      <c r="H101" s="32"/>
      <c r="I101" s="32"/>
    </row>
    <row r="102" spans="1:9" ht="15" customHeight="1">
      <c r="A102" s="30"/>
      <c r="B102" s="32"/>
      <c r="C102" s="32"/>
      <c r="D102" s="31"/>
      <c r="E102" s="32"/>
      <c r="F102" s="32"/>
      <c r="G102" s="33" t="str">
        <f>IF(F102="","",IFERROR(INDEX(담당자마스터!$B$2:$B$300,MATCH(F102,담당자마스터!$A$2:$A$300,0)),"※미등록"))</f>
        <v/>
      </c>
      <c r="H102" s="32"/>
      <c r="I102" s="32"/>
    </row>
    <row r="103" spans="1:9" ht="15" customHeight="1">
      <c r="A103" s="30"/>
      <c r="B103" s="32"/>
      <c r="C103" s="32"/>
      <c r="D103" s="31"/>
      <c r="E103" s="32"/>
      <c r="F103" s="32"/>
      <c r="G103" s="33" t="str">
        <f>IF(F103="","",IFERROR(INDEX(담당자마스터!$B$2:$B$300,MATCH(F103,담당자마스터!$A$2:$A$300,0)),"※미등록"))</f>
        <v/>
      </c>
      <c r="H103" s="32"/>
      <c r="I103" s="32"/>
    </row>
    <row r="104" spans="1:9" ht="15" customHeight="1">
      <c r="A104" s="30"/>
      <c r="B104" s="32"/>
      <c r="C104" s="32"/>
      <c r="D104" s="31"/>
      <c r="E104" s="32"/>
      <c r="F104" s="32"/>
      <c r="G104" s="33" t="str">
        <f>IF(F104="","",IFERROR(INDEX(담당자마스터!$B$2:$B$300,MATCH(F104,담당자마스터!$A$2:$A$300,0)),"※미등록"))</f>
        <v/>
      </c>
      <c r="H104" s="32"/>
      <c r="I104" s="32"/>
    </row>
    <row r="105" spans="1:9" ht="15" customHeight="1">
      <c r="A105" s="30"/>
      <c r="B105" s="32"/>
      <c r="C105" s="32"/>
      <c r="D105" s="31"/>
      <c r="E105" s="32"/>
      <c r="F105" s="32"/>
      <c r="G105" s="33" t="str">
        <f>IF(F105="","",IFERROR(INDEX(담당자마스터!$B$2:$B$300,MATCH(F105,담당자마스터!$A$2:$A$300,0)),"※미등록"))</f>
        <v/>
      </c>
      <c r="H105" s="32"/>
      <c r="I105" s="32"/>
    </row>
    <row r="106" spans="1:9" ht="15" customHeight="1">
      <c r="A106" s="30"/>
      <c r="B106" s="32"/>
      <c r="C106" s="32"/>
      <c r="D106" s="31"/>
      <c r="E106" s="32"/>
      <c r="F106" s="32"/>
      <c r="G106" s="33" t="str">
        <f>IF(F106="","",IFERROR(INDEX(담당자마스터!$B$2:$B$300,MATCH(F106,담당자마스터!$A$2:$A$300,0)),"※미등록"))</f>
        <v/>
      </c>
      <c r="H106" s="32"/>
      <c r="I106" s="32"/>
    </row>
    <row r="107" spans="1:9" ht="15" customHeight="1">
      <c r="A107" s="30"/>
      <c r="B107" s="32"/>
      <c r="C107" s="32"/>
      <c r="D107" s="31"/>
      <c r="E107" s="32"/>
      <c r="F107" s="32"/>
      <c r="G107" s="33" t="str">
        <f>IF(F107="","",IFERROR(INDEX(담당자마스터!$B$2:$B$300,MATCH(F107,담당자마스터!$A$2:$A$300,0)),"※미등록"))</f>
        <v/>
      </c>
      <c r="H107" s="32"/>
      <c r="I107" s="32"/>
    </row>
    <row r="108" spans="1:9" ht="15" customHeight="1">
      <c r="A108" s="30"/>
      <c r="B108" s="32"/>
      <c r="C108" s="32"/>
      <c r="D108" s="31"/>
      <c r="E108" s="32"/>
      <c r="F108" s="32"/>
      <c r="G108" s="33" t="str">
        <f>IF(F108="","",IFERROR(INDEX(담당자마스터!$B$2:$B$300,MATCH(F108,담당자마스터!$A$2:$A$300,0)),"※미등록"))</f>
        <v/>
      </c>
      <c r="H108" s="32"/>
      <c r="I108" s="32"/>
    </row>
    <row r="109" spans="1:9" ht="15" customHeight="1">
      <c r="A109" s="30"/>
      <c r="B109" s="32"/>
      <c r="C109" s="32"/>
      <c r="D109" s="31"/>
      <c r="E109" s="32"/>
      <c r="F109" s="32"/>
      <c r="G109" s="33" t="str">
        <f>IF(F109="","",IFERROR(INDEX(담당자마스터!$B$2:$B$300,MATCH(F109,담당자마스터!$A$2:$A$300,0)),"※미등록"))</f>
        <v/>
      </c>
      <c r="H109" s="32"/>
      <c r="I109" s="32"/>
    </row>
    <row r="110" spans="1:9" ht="15" customHeight="1">
      <c r="A110" s="30"/>
      <c r="B110" s="32"/>
      <c r="C110" s="32"/>
      <c r="D110" s="31"/>
      <c r="E110" s="32"/>
      <c r="F110" s="32"/>
      <c r="G110" s="33" t="str">
        <f>IF(F110="","",IFERROR(INDEX(담당자마스터!$B$2:$B$300,MATCH(F110,담당자마스터!$A$2:$A$300,0)),"※미등록"))</f>
        <v/>
      </c>
      <c r="H110" s="32"/>
      <c r="I110" s="32"/>
    </row>
    <row r="111" spans="1:9" ht="15" customHeight="1">
      <c r="A111" s="30"/>
      <c r="B111" s="32"/>
      <c r="C111" s="32"/>
      <c r="D111" s="31"/>
      <c r="E111" s="32"/>
      <c r="F111" s="32"/>
      <c r="G111" s="33" t="str">
        <f>IF(F111="","",IFERROR(INDEX(담당자마스터!$B$2:$B$300,MATCH(F111,담당자마스터!$A$2:$A$300,0)),"※미등록"))</f>
        <v/>
      </c>
      <c r="H111" s="32"/>
      <c r="I111" s="32"/>
    </row>
    <row r="112" spans="1:9" ht="15" customHeight="1">
      <c r="A112" s="30"/>
      <c r="B112" s="32"/>
      <c r="C112" s="32"/>
      <c r="D112" s="31"/>
      <c r="E112" s="32"/>
      <c r="F112" s="32"/>
      <c r="G112" s="33" t="str">
        <f>IF(F112="","",IFERROR(INDEX(담당자마스터!$B$2:$B$300,MATCH(F112,담당자마스터!$A$2:$A$300,0)),"※미등록"))</f>
        <v/>
      </c>
      <c r="H112" s="32"/>
      <c r="I112" s="32"/>
    </row>
    <row r="113" spans="1:9" ht="15" customHeight="1">
      <c r="A113" s="30"/>
      <c r="B113" s="32"/>
      <c r="C113" s="32"/>
      <c r="D113" s="31"/>
      <c r="E113" s="32"/>
      <c r="F113" s="32"/>
      <c r="G113" s="33" t="str">
        <f>IF(F113="","",IFERROR(INDEX(담당자마스터!$B$2:$B$300,MATCH(F113,담당자마스터!$A$2:$A$300,0)),"※미등록"))</f>
        <v/>
      </c>
      <c r="H113" s="32"/>
      <c r="I113" s="32"/>
    </row>
    <row r="114" spans="1:9" ht="15" customHeight="1">
      <c r="A114" s="30"/>
      <c r="B114" s="32"/>
      <c r="C114" s="32"/>
      <c r="D114" s="31"/>
      <c r="E114" s="32"/>
      <c r="F114" s="32"/>
      <c r="G114" s="33" t="str">
        <f>IF(F114="","",IFERROR(INDEX(담당자마스터!$B$2:$B$300,MATCH(F114,담당자마스터!$A$2:$A$300,0)),"※미등록"))</f>
        <v/>
      </c>
      <c r="H114" s="32"/>
      <c r="I114" s="32"/>
    </row>
    <row r="115" spans="1:9" ht="15" customHeight="1">
      <c r="A115" s="30"/>
      <c r="B115" s="32"/>
      <c r="C115" s="32"/>
      <c r="D115" s="31"/>
      <c r="E115" s="32"/>
      <c r="F115" s="32"/>
      <c r="G115" s="33" t="str">
        <f>IF(F115="","",IFERROR(INDEX(담당자마스터!$B$2:$B$300,MATCH(F115,담당자마스터!$A$2:$A$300,0)),"※미등록"))</f>
        <v/>
      </c>
      <c r="H115" s="32"/>
      <c r="I115" s="32"/>
    </row>
    <row r="116" spans="1:9" ht="15" customHeight="1">
      <c r="A116" s="30"/>
      <c r="B116" s="32"/>
      <c r="C116" s="32"/>
      <c r="D116" s="31"/>
      <c r="E116" s="32"/>
      <c r="F116" s="32"/>
      <c r="G116" s="33" t="str">
        <f>IF(F116="","",IFERROR(INDEX(담당자마스터!$B$2:$B$300,MATCH(F116,담당자마스터!$A$2:$A$300,0)),"※미등록"))</f>
        <v/>
      </c>
      <c r="H116" s="32"/>
      <c r="I116" s="32"/>
    </row>
    <row r="117" spans="1:9" ht="15" customHeight="1">
      <c r="A117" s="30"/>
      <c r="B117" s="32"/>
      <c r="C117" s="32"/>
      <c r="D117" s="31"/>
      <c r="E117" s="32"/>
      <c r="F117" s="32"/>
      <c r="G117" s="33" t="str">
        <f>IF(F117="","",IFERROR(INDEX(담당자마스터!$B$2:$B$300,MATCH(F117,담당자마스터!$A$2:$A$300,0)),"※미등록"))</f>
        <v/>
      </c>
      <c r="H117" s="32"/>
      <c r="I117" s="32"/>
    </row>
    <row r="118" spans="1:9" ht="15" customHeight="1">
      <c r="A118" s="30"/>
      <c r="B118" s="32"/>
      <c r="C118" s="32"/>
      <c r="D118" s="31"/>
      <c r="E118" s="32"/>
      <c r="F118" s="32"/>
      <c r="G118" s="33" t="str">
        <f>IF(F118="","",IFERROR(INDEX(담당자마스터!$B$2:$B$300,MATCH(F118,담당자마스터!$A$2:$A$300,0)),"※미등록"))</f>
        <v/>
      </c>
      <c r="H118" s="32"/>
      <c r="I118" s="32"/>
    </row>
    <row r="119" spans="1:9" ht="15" customHeight="1">
      <c r="A119" s="30"/>
      <c r="B119" s="32"/>
      <c r="C119" s="32"/>
      <c r="D119" s="31"/>
      <c r="E119" s="32"/>
      <c r="F119" s="32"/>
      <c r="G119" s="33" t="str">
        <f>IF(F119="","",IFERROR(INDEX(담당자마스터!$B$2:$B$300,MATCH(F119,담당자마스터!$A$2:$A$300,0)),"※미등록"))</f>
        <v/>
      </c>
      <c r="H119" s="32"/>
      <c r="I119" s="32"/>
    </row>
    <row r="120" spans="1:9" ht="15" customHeight="1">
      <c r="A120" s="30"/>
      <c r="B120" s="32"/>
      <c r="C120" s="32"/>
      <c r="D120" s="31"/>
      <c r="E120" s="32"/>
      <c r="F120" s="32"/>
      <c r="G120" s="33" t="str">
        <f>IF(F120="","",IFERROR(INDEX(담당자마스터!$B$2:$B$300,MATCH(F120,담당자마스터!$A$2:$A$300,0)),"※미등록"))</f>
        <v/>
      </c>
      <c r="H120" s="32"/>
      <c r="I120" s="32"/>
    </row>
    <row r="121" spans="1:9" ht="15" customHeight="1">
      <c r="A121" s="30"/>
      <c r="B121" s="32"/>
      <c r="C121" s="32"/>
      <c r="D121" s="31"/>
      <c r="E121" s="32"/>
      <c r="F121" s="32"/>
      <c r="G121" s="33" t="str">
        <f>IF(F121="","",IFERROR(INDEX(담당자마스터!$B$2:$B$300,MATCH(F121,담당자마스터!$A$2:$A$300,0)),"※미등록"))</f>
        <v/>
      </c>
      <c r="H121" s="32"/>
      <c r="I121" s="32"/>
    </row>
    <row r="122" spans="1:9" ht="15" customHeight="1">
      <c r="A122" s="30"/>
      <c r="B122" s="32"/>
      <c r="C122" s="32"/>
      <c r="D122" s="31"/>
      <c r="E122" s="32"/>
      <c r="F122" s="32"/>
      <c r="G122" s="33" t="str">
        <f>IF(F122="","",IFERROR(INDEX(담당자마스터!$B$2:$B$300,MATCH(F122,담당자마스터!$A$2:$A$300,0)),"※미등록"))</f>
        <v/>
      </c>
      <c r="H122" s="32"/>
      <c r="I122" s="32"/>
    </row>
    <row r="123" spans="1:9" ht="15" customHeight="1">
      <c r="A123" s="30"/>
      <c r="B123" s="32"/>
      <c r="C123" s="32"/>
      <c r="D123" s="31"/>
      <c r="E123" s="32"/>
      <c r="F123" s="32"/>
      <c r="G123" s="33" t="str">
        <f>IF(F123="","",IFERROR(INDEX(담당자마스터!$B$2:$B$300,MATCH(F123,담당자마스터!$A$2:$A$300,0)),"※미등록"))</f>
        <v/>
      </c>
      <c r="H123" s="32"/>
      <c r="I123" s="32"/>
    </row>
    <row r="124" spans="1:9" ht="15" customHeight="1">
      <c r="A124" s="30"/>
      <c r="B124" s="32"/>
      <c r="C124" s="32"/>
      <c r="D124" s="31"/>
      <c r="E124" s="32"/>
      <c r="F124" s="32"/>
      <c r="G124" s="33" t="str">
        <f>IF(F124="","",IFERROR(INDEX(담당자마스터!$B$2:$B$300,MATCH(F124,담당자마스터!$A$2:$A$300,0)),"※미등록"))</f>
        <v/>
      </c>
      <c r="H124" s="32"/>
      <c r="I124" s="32"/>
    </row>
    <row r="125" spans="1:9" ht="15" customHeight="1">
      <c r="A125" s="30"/>
      <c r="B125" s="32"/>
      <c r="C125" s="32"/>
      <c r="D125" s="31"/>
      <c r="E125" s="32"/>
      <c r="F125" s="32"/>
      <c r="G125" s="33" t="str">
        <f>IF(F125="","",IFERROR(INDEX(담당자마스터!$B$2:$B$300,MATCH(F125,담당자마스터!$A$2:$A$300,0)),"※미등록"))</f>
        <v/>
      </c>
      <c r="H125" s="32"/>
      <c r="I125" s="32"/>
    </row>
    <row r="126" spans="1:9" ht="15" customHeight="1">
      <c r="A126" s="30"/>
      <c r="B126" s="32"/>
      <c r="C126" s="32"/>
      <c r="D126" s="31"/>
      <c r="E126" s="32"/>
      <c r="F126" s="32"/>
      <c r="G126" s="33" t="str">
        <f>IF(F126="","",IFERROR(INDEX(담당자마스터!$B$2:$B$300,MATCH(F126,담당자마스터!$A$2:$A$300,0)),"※미등록"))</f>
        <v/>
      </c>
      <c r="H126" s="32"/>
      <c r="I126" s="32"/>
    </row>
    <row r="127" spans="1:9" ht="15" customHeight="1">
      <c r="A127" s="30"/>
      <c r="B127" s="32"/>
      <c r="C127" s="32"/>
      <c r="D127" s="31"/>
      <c r="E127" s="32"/>
      <c r="F127" s="32"/>
      <c r="G127" s="33" t="str">
        <f>IF(F127="","",IFERROR(INDEX(담당자마스터!$B$2:$B$300,MATCH(F127,담당자마스터!$A$2:$A$300,0)),"※미등록"))</f>
        <v/>
      </c>
      <c r="H127" s="32"/>
      <c r="I127" s="32"/>
    </row>
    <row r="128" spans="1:9" ht="15" customHeight="1">
      <c r="A128" s="30"/>
      <c r="B128" s="32"/>
      <c r="C128" s="32"/>
      <c r="D128" s="31"/>
      <c r="E128" s="32"/>
      <c r="F128" s="32"/>
      <c r="G128" s="33" t="str">
        <f>IF(F128="","",IFERROR(INDEX(담당자마스터!$B$2:$B$300,MATCH(F128,담당자마스터!$A$2:$A$300,0)),"※미등록"))</f>
        <v/>
      </c>
      <c r="H128" s="32"/>
      <c r="I128" s="32"/>
    </row>
    <row r="129" spans="1:9" ht="15" customHeight="1">
      <c r="A129" s="30"/>
      <c r="B129" s="32"/>
      <c r="C129" s="32"/>
      <c r="D129" s="31"/>
      <c r="E129" s="32"/>
      <c r="F129" s="32"/>
      <c r="G129" s="33" t="str">
        <f>IF(F129="","",IFERROR(INDEX(담당자마스터!$B$2:$B$300,MATCH(F129,담당자마스터!$A$2:$A$300,0)),"※미등록"))</f>
        <v/>
      </c>
      <c r="H129" s="32"/>
      <c r="I129" s="32"/>
    </row>
    <row r="130" spans="1:9" ht="15" customHeight="1">
      <c r="A130" s="30"/>
      <c r="B130" s="32"/>
      <c r="C130" s="32"/>
      <c r="D130" s="31"/>
      <c r="E130" s="32"/>
      <c r="F130" s="32"/>
      <c r="G130" s="33" t="str">
        <f>IF(F130="","",IFERROR(INDEX(담당자마스터!$B$2:$B$300,MATCH(F130,담당자마스터!$A$2:$A$300,0)),"※미등록"))</f>
        <v/>
      </c>
      <c r="H130" s="32"/>
      <c r="I130" s="32"/>
    </row>
    <row r="131" spans="1:9" ht="15" customHeight="1">
      <c r="A131" s="30"/>
      <c r="B131" s="32"/>
      <c r="C131" s="32"/>
      <c r="D131" s="31"/>
      <c r="E131" s="32"/>
      <c r="F131" s="32"/>
      <c r="G131" s="33" t="str">
        <f>IF(F131="","",IFERROR(INDEX(담당자마스터!$B$2:$B$300,MATCH(F131,담당자마스터!$A$2:$A$300,0)),"※미등록"))</f>
        <v/>
      </c>
      <c r="H131" s="32"/>
      <c r="I131" s="32"/>
    </row>
    <row r="132" spans="1:9" ht="15" customHeight="1">
      <c r="A132" s="30"/>
      <c r="B132" s="32"/>
      <c r="C132" s="32"/>
      <c r="D132" s="31"/>
      <c r="E132" s="32"/>
      <c r="F132" s="32"/>
      <c r="G132" s="33" t="str">
        <f>IF(F132="","",IFERROR(INDEX(담당자마스터!$B$2:$B$300,MATCH(F132,담당자마스터!$A$2:$A$300,0)),"※미등록"))</f>
        <v/>
      </c>
      <c r="H132" s="32"/>
      <c r="I132" s="32"/>
    </row>
    <row r="133" spans="1:9" ht="15" customHeight="1">
      <c r="A133" s="30"/>
      <c r="B133" s="32"/>
      <c r="C133" s="32"/>
      <c r="D133" s="31"/>
      <c r="E133" s="32"/>
      <c r="F133" s="32"/>
      <c r="G133" s="33" t="str">
        <f>IF(F133="","",IFERROR(INDEX(담당자마스터!$B$2:$B$300,MATCH(F133,담당자마스터!$A$2:$A$300,0)),"※미등록"))</f>
        <v/>
      </c>
      <c r="H133" s="32"/>
      <c r="I133" s="32"/>
    </row>
    <row r="134" spans="1:9" ht="15" customHeight="1">
      <c r="A134" s="30"/>
      <c r="B134" s="32"/>
      <c r="C134" s="32"/>
      <c r="D134" s="31"/>
      <c r="E134" s="32"/>
      <c r="F134" s="32"/>
      <c r="G134" s="33" t="str">
        <f>IF(F134="","",IFERROR(INDEX(담당자마스터!$B$2:$B$300,MATCH(F134,담당자마스터!$A$2:$A$300,0)),"※미등록"))</f>
        <v/>
      </c>
      <c r="H134" s="32"/>
      <c r="I134" s="32"/>
    </row>
    <row r="135" spans="1:9" ht="15" customHeight="1">
      <c r="A135" s="30"/>
      <c r="B135" s="32"/>
      <c r="C135" s="32"/>
      <c r="D135" s="31"/>
      <c r="E135" s="32"/>
      <c r="F135" s="32"/>
      <c r="G135" s="33" t="str">
        <f>IF(F135="","",IFERROR(INDEX(담당자마스터!$B$2:$B$300,MATCH(F135,담당자마스터!$A$2:$A$300,0)),"※미등록"))</f>
        <v/>
      </c>
      <c r="H135" s="32"/>
      <c r="I135" s="32"/>
    </row>
    <row r="136" spans="1:9" ht="15" customHeight="1">
      <c r="A136" s="30"/>
      <c r="B136" s="32"/>
      <c r="C136" s="32"/>
      <c r="D136" s="31"/>
      <c r="E136" s="32"/>
      <c r="F136" s="32"/>
      <c r="G136" s="33" t="str">
        <f>IF(F136="","",IFERROR(INDEX(담당자마스터!$B$2:$B$300,MATCH(F136,담당자마스터!$A$2:$A$300,0)),"※미등록"))</f>
        <v/>
      </c>
      <c r="H136" s="32"/>
      <c r="I136" s="32"/>
    </row>
    <row r="137" spans="1:9" ht="15" customHeight="1">
      <c r="A137" s="30"/>
      <c r="B137" s="32"/>
      <c r="C137" s="32"/>
      <c r="D137" s="31"/>
      <c r="E137" s="32"/>
      <c r="F137" s="32"/>
      <c r="G137" s="33" t="str">
        <f>IF(F137="","",IFERROR(INDEX(담당자마스터!$B$2:$B$300,MATCH(F137,담당자마스터!$A$2:$A$300,0)),"※미등록"))</f>
        <v/>
      </c>
      <c r="H137" s="32"/>
      <c r="I137" s="32"/>
    </row>
    <row r="138" spans="1:9" ht="15" customHeight="1">
      <c r="A138" s="30"/>
      <c r="B138" s="32"/>
      <c r="C138" s="32"/>
      <c r="D138" s="31"/>
      <c r="E138" s="32"/>
      <c r="F138" s="32"/>
      <c r="G138" s="33" t="str">
        <f>IF(F138="","",IFERROR(INDEX(담당자마스터!$B$2:$B$300,MATCH(F138,담당자마스터!$A$2:$A$300,0)),"※미등록"))</f>
        <v/>
      </c>
      <c r="H138" s="32"/>
      <c r="I138" s="32"/>
    </row>
    <row r="139" spans="1:9" ht="15" customHeight="1">
      <c r="A139" s="30"/>
      <c r="B139" s="32"/>
      <c r="C139" s="32"/>
      <c r="D139" s="31"/>
      <c r="E139" s="32"/>
      <c r="F139" s="32"/>
      <c r="G139" s="33" t="str">
        <f>IF(F139="","",IFERROR(INDEX(담당자마스터!$B$2:$B$300,MATCH(F139,담당자마스터!$A$2:$A$300,0)),"※미등록"))</f>
        <v/>
      </c>
      <c r="H139" s="32"/>
      <c r="I139" s="32"/>
    </row>
    <row r="140" spans="1:9" ht="15" customHeight="1">
      <c r="A140" s="30"/>
      <c r="B140" s="32"/>
      <c r="C140" s="32"/>
      <c r="D140" s="31"/>
      <c r="E140" s="32"/>
      <c r="F140" s="32"/>
      <c r="G140" s="33" t="str">
        <f>IF(F140="","",IFERROR(INDEX(담당자마스터!$B$2:$B$300,MATCH(F140,담당자마스터!$A$2:$A$300,0)),"※미등록"))</f>
        <v/>
      </c>
      <c r="H140" s="32"/>
      <c r="I140" s="32"/>
    </row>
    <row r="141" spans="1:9" ht="15" customHeight="1">
      <c r="A141" s="30"/>
      <c r="B141" s="32"/>
      <c r="C141" s="32"/>
      <c r="D141" s="31"/>
      <c r="E141" s="32"/>
      <c r="F141" s="32"/>
      <c r="G141" s="33" t="str">
        <f>IF(F141="","",IFERROR(INDEX(담당자마스터!$B$2:$B$300,MATCH(F141,담당자마스터!$A$2:$A$300,0)),"※미등록"))</f>
        <v/>
      </c>
      <c r="H141" s="32"/>
      <c r="I141" s="32"/>
    </row>
    <row r="142" spans="1:9" ht="15" customHeight="1">
      <c r="A142" s="30"/>
      <c r="B142" s="32"/>
      <c r="C142" s="32"/>
      <c r="D142" s="31"/>
      <c r="E142" s="32"/>
      <c r="F142" s="32"/>
      <c r="G142" s="33" t="str">
        <f>IF(F142="","",IFERROR(INDEX(담당자마스터!$B$2:$B$300,MATCH(F142,담당자마스터!$A$2:$A$300,0)),"※미등록"))</f>
        <v/>
      </c>
      <c r="H142" s="32"/>
      <c r="I142" s="32"/>
    </row>
    <row r="143" spans="1:9" ht="15" customHeight="1">
      <c r="A143" s="30"/>
      <c r="B143" s="32"/>
      <c r="C143" s="32"/>
      <c r="D143" s="31"/>
      <c r="E143" s="32"/>
      <c r="F143" s="32"/>
      <c r="G143" s="33" t="str">
        <f>IF(F143="","",IFERROR(INDEX(담당자마스터!$B$2:$B$300,MATCH(F143,담당자마스터!$A$2:$A$300,0)),"※미등록"))</f>
        <v/>
      </c>
      <c r="H143" s="32"/>
      <c r="I143" s="32"/>
    </row>
    <row r="144" spans="1:9" ht="15" customHeight="1">
      <c r="A144" s="30"/>
      <c r="B144" s="32"/>
      <c r="C144" s="32"/>
      <c r="D144" s="31"/>
      <c r="E144" s="32"/>
      <c r="F144" s="32"/>
      <c r="G144" s="33" t="str">
        <f>IF(F144="","",IFERROR(INDEX(담당자마스터!$B$2:$B$300,MATCH(F144,담당자마스터!$A$2:$A$300,0)),"※미등록"))</f>
        <v/>
      </c>
      <c r="H144" s="32"/>
      <c r="I144" s="32"/>
    </row>
    <row r="145" spans="1:9" ht="15" customHeight="1">
      <c r="A145" s="30"/>
      <c r="B145" s="32"/>
      <c r="C145" s="32"/>
      <c r="D145" s="31"/>
      <c r="E145" s="32"/>
      <c r="F145" s="32"/>
      <c r="G145" s="33" t="str">
        <f>IF(F145="","",IFERROR(INDEX(담당자마스터!$B$2:$B$300,MATCH(F145,담당자마스터!$A$2:$A$300,0)),"※미등록"))</f>
        <v/>
      </c>
      <c r="H145" s="32"/>
      <c r="I145" s="32"/>
    </row>
    <row r="146" spans="1:9" ht="15" customHeight="1">
      <c r="A146" s="30"/>
      <c r="B146" s="32"/>
      <c r="C146" s="32"/>
      <c r="D146" s="31"/>
      <c r="E146" s="32"/>
      <c r="F146" s="32"/>
      <c r="G146" s="33" t="str">
        <f>IF(F146="","",IFERROR(INDEX(담당자마스터!$B$2:$B$300,MATCH(F146,담당자마스터!$A$2:$A$300,0)),"※미등록"))</f>
        <v/>
      </c>
      <c r="H146" s="32"/>
      <c r="I146" s="32"/>
    </row>
    <row r="147" spans="1:9" ht="15" customHeight="1">
      <c r="A147" s="30"/>
      <c r="B147" s="32"/>
      <c r="C147" s="32"/>
      <c r="D147" s="31"/>
      <c r="E147" s="32"/>
      <c r="F147" s="32"/>
      <c r="G147" s="33" t="str">
        <f>IF(F147="","",IFERROR(INDEX(담당자마스터!$B$2:$B$300,MATCH(F147,담당자마스터!$A$2:$A$300,0)),"※미등록"))</f>
        <v/>
      </c>
      <c r="H147" s="32"/>
      <c r="I147" s="32"/>
    </row>
    <row r="148" spans="1:9" ht="15" customHeight="1">
      <c r="A148" s="30"/>
      <c r="B148" s="32"/>
      <c r="C148" s="32"/>
      <c r="D148" s="31"/>
      <c r="E148" s="32"/>
      <c r="F148" s="32"/>
      <c r="G148" s="33" t="str">
        <f>IF(F148="","",IFERROR(INDEX(담당자마스터!$B$2:$B$300,MATCH(F148,담당자마스터!$A$2:$A$300,0)),"※미등록"))</f>
        <v/>
      </c>
      <c r="H148" s="32"/>
      <c r="I148" s="32"/>
    </row>
    <row r="149" spans="1:9" ht="15" customHeight="1">
      <c r="A149" s="30"/>
      <c r="B149" s="32"/>
      <c r="C149" s="32"/>
      <c r="D149" s="31"/>
      <c r="E149" s="32"/>
      <c r="F149" s="32"/>
      <c r="G149" s="33" t="str">
        <f>IF(F149="","",IFERROR(INDEX(담당자마스터!$B$2:$B$300,MATCH(F149,담당자마스터!$A$2:$A$300,0)),"※미등록"))</f>
        <v/>
      </c>
      <c r="H149" s="32"/>
      <c r="I149" s="32"/>
    </row>
    <row r="150" spans="1:9" ht="15" customHeight="1">
      <c r="A150" s="30"/>
      <c r="B150" s="32"/>
      <c r="C150" s="32"/>
      <c r="D150" s="31"/>
      <c r="E150" s="32"/>
      <c r="F150" s="32"/>
      <c r="G150" s="33" t="str">
        <f>IF(F150="","",IFERROR(INDEX(담당자마스터!$B$2:$B$300,MATCH(F150,담당자마스터!$A$2:$A$300,0)),"※미등록"))</f>
        <v/>
      </c>
      <c r="H150" s="32"/>
      <c r="I150" s="32"/>
    </row>
    <row r="151" spans="1:9" ht="15" customHeight="1">
      <c r="A151" s="30"/>
      <c r="B151" s="32"/>
      <c r="C151" s="32"/>
      <c r="D151" s="31"/>
      <c r="E151" s="32"/>
      <c r="F151" s="32"/>
      <c r="G151" s="33" t="str">
        <f>IF(F151="","",IFERROR(INDEX(담당자마스터!$B$2:$B$300,MATCH(F151,담당자마스터!$A$2:$A$300,0)),"※미등록"))</f>
        <v/>
      </c>
      <c r="H151" s="32"/>
      <c r="I151" s="32"/>
    </row>
    <row r="152" spans="1:9" ht="15" customHeight="1">
      <c r="A152" s="30"/>
      <c r="B152" s="32"/>
      <c r="C152" s="32"/>
      <c r="D152" s="31"/>
      <c r="E152" s="32"/>
      <c r="F152" s="32"/>
      <c r="G152" s="33" t="str">
        <f>IF(F152="","",IFERROR(INDEX(담당자마스터!$B$2:$B$300,MATCH(F152,담당자마스터!$A$2:$A$300,0)),"※미등록"))</f>
        <v/>
      </c>
      <c r="H152" s="32"/>
      <c r="I152" s="32"/>
    </row>
    <row r="153" spans="1:9" ht="15" customHeight="1">
      <c r="A153" s="30"/>
      <c r="B153" s="32"/>
      <c r="C153" s="32"/>
      <c r="D153" s="31"/>
      <c r="E153" s="32"/>
      <c r="F153" s="32"/>
      <c r="G153" s="33" t="str">
        <f>IF(F153="","",IFERROR(INDEX(담당자마스터!$B$2:$B$300,MATCH(F153,담당자마스터!$A$2:$A$300,0)),"※미등록"))</f>
        <v/>
      </c>
      <c r="H153" s="32"/>
      <c r="I153" s="32"/>
    </row>
    <row r="154" spans="1:9" ht="15" customHeight="1">
      <c r="A154" s="30"/>
      <c r="B154" s="32"/>
      <c r="C154" s="32"/>
      <c r="D154" s="31"/>
      <c r="E154" s="32"/>
      <c r="F154" s="32"/>
      <c r="G154" s="33" t="str">
        <f>IF(F154="","",IFERROR(INDEX(담당자마스터!$B$2:$B$300,MATCH(F154,담당자마스터!$A$2:$A$300,0)),"※미등록"))</f>
        <v/>
      </c>
      <c r="H154" s="32"/>
      <c r="I154" s="32"/>
    </row>
    <row r="155" spans="1:9" ht="15" customHeight="1">
      <c r="A155" s="30"/>
      <c r="B155" s="32"/>
      <c r="C155" s="32"/>
      <c r="D155" s="31"/>
      <c r="E155" s="32"/>
      <c r="F155" s="32"/>
      <c r="G155" s="33" t="str">
        <f>IF(F155="","",IFERROR(INDEX(담당자마스터!$B$2:$B$300,MATCH(F155,담당자마스터!$A$2:$A$300,0)),"※미등록"))</f>
        <v/>
      </c>
      <c r="H155" s="32"/>
      <c r="I155" s="32"/>
    </row>
    <row r="156" spans="1:9" ht="15" customHeight="1">
      <c r="A156" s="30"/>
      <c r="B156" s="32"/>
      <c r="C156" s="32"/>
      <c r="D156" s="31"/>
      <c r="E156" s="32"/>
      <c r="F156" s="32"/>
      <c r="G156" s="33" t="str">
        <f>IF(F156="","",IFERROR(INDEX(담당자마스터!$B$2:$B$300,MATCH(F156,담당자마스터!$A$2:$A$300,0)),"※미등록"))</f>
        <v/>
      </c>
      <c r="H156" s="32"/>
      <c r="I156" s="32"/>
    </row>
    <row r="157" spans="1:9" ht="15" customHeight="1">
      <c r="A157" s="30"/>
      <c r="B157" s="32"/>
      <c r="C157" s="32"/>
      <c r="D157" s="31"/>
      <c r="E157" s="32"/>
      <c r="F157" s="32"/>
      <c r="G157" s="33" t="str">
        <f>IF(F157="","",IFERROR(INDEX(담당자마스터!$B$2:$B$300,MATCH(F157,담당자마스터!$A$2:$A$300,0)),"※미등록"))</f>
        <v/>
      </c>
      <c r="H157" s="32"/>
      <c r="I157" s="32"/>
    </row>
    <row r="158" spans="1:9" ht="15" customHeight="1">
      <c r="A158" s="30"/>
      <c r="B158" s="32"/>
      <c r="C158" s="32"/>
      <c r="D158" s="31"/>
      <c r="E158" s="32"/>
      <c r="F158" s="32"/>
      <c r="G158" s="33" t="str">
        <f>IF(F158="","",IFERROR(INDEX(담당자마스터!$B$2:$B$300,MATCH(F158,담당자마스터!$A$2:$A$300,0)),"※미등록"))</f>
        <v/>
      </c>
      <c r="H158" s="32"/>
      <c r="I158" s="32"/>
    </row>
    <row r="159" spans="1:9" ht="15" customHeight="1">
      <c r="A159" s="30"/>
      <c r="B159" s="32"/>
      <c r="C159" s="32"/>
      <c r="D159" s="31"/>
      <c r="E159" s="32"/>
      <c r="F159" s="32"/>
      <c r="G159" s="33" t="str">
        <f>IF(F159="","",IFERROR(INDEX(담당자마스터!$B$2:$B$300,MATCH(F159,담당자마스터!$A$2:$A$300,0)),"※미등록"))</f>
        <v/>
      </c>
      <c r="H159" s="32"/>
      <c r="I159" s="32"/>
    </row>
    <row r="160" spans="1:9" ht="15" customHeight="1">
      <c r="A160" s="30"/>
      <c r="B160" s="32"/>
      <c r="C160" s="32"/>
      <c r="D160" s="31"/>
      <c r="E160" s="32"/>
      <c r="F160" s="32"/>
      <c r="G160" s="33" t="str">
        <f>IF(F160="","",IFERROR(INDEX(담당자마스터!$B$2:$B$300,MATCH(F160,담당자마스터!$A$2:$A$300,0)),"※미등록"))</f>
        <v/>
      </c>
      <c r="H160" s="32"/>
      <c r="I160" s="32"/>
    </row>
    <row r="161" spans="1:9" ht="15" customHeight="1">
      <c r="A161" s="30"/>
      <c r="B161" s="32"/>
      <c r="C161" s="32"/>
      <c r="D161" s="31"/>
      <c r="E161" s="32"/>
      <c r="F161" s="32"/>
      <c r="G161" s="33" t="str">
        <f>IF(F161="","",IFERROR(INDEX(담당자마스터!$B$2:$B$300,MATCH(F161,담당자마스터!$A$2:$A$300,0)),"※미등록"))</f>
        <v/>
      </c>
      <c r="H161" s="32"/>
      <c r="I161" s="32"/>
    </row>
    <row r="162" spans="1:9" ht="15" customHeight="1">
      <c r="A162" s="30"/>
      <c r="B162" s="32"/>
      <c r="C162" s="32"/>
      <c r="D162" s="31"/>
      <c r="E162" s="32"/>
      <c r="F162" s="32"/>
      <c r="G162" s="33" t="str">
        <f>IF(F162="","",IFERROR(INDEX(담당자마스터!$B$2:$B$300,MATCH(F162,담당자마스터!$A$2:$A$300,0)),"※미등록"))</f>
        <v/>
      </c>
      <c r="H162" s="32"/>
      <c r="I162" s="32"/>
    </row>
    <row r="163" spans="1:9" ht="15" customHeight="1">
      <c r="A163" s="30"/>
      <c r="B163" s="32"/>
      <c r="C163" s="32"/>
      <c r="D163" s="31"/>
      <c r="E163" s="32"/>
      <c r="F163" s="32"/>
      <c r="G163" s="33" t="str">
        <f>IF(F163="","",IFERROR(INDEX(담당자마스터!$B$2:$B$300,MATCH(F163,담당자마스터!$A$2:$A$300,0)),"※미등록"))</f>
        <v/>
      </c>
      <c r="H163" s="32"/>
      <c r="I163" s="32"/>
    </row>
    <row r="164" spans="1:9" ht="15" customHeight="1">
      <c r="A164" s="30"/>
      <c r="B164" s="32"/>
      <c r="C164" s="32"/>
      <c r="D164" s="31"/>
      <c r="E164" s="32"/>
      <c r="F164" s="32"/>
      <c r="G164" s="33" t="str">
        <f>IF(F164="","",IFERROR(INDEX(담당자마스터!$B$2:$B$300,MATCH(F164,담당자마스터!$A$2:$A$300,0)),"※미등록"))</f>
        <v/>
      </c>
      <c r="H164" s="32"/>
      <c r="I164" s="32"/>
    </row>
    <row r="165" spans="1:9" ht="15" customHeight="1">
      <c r="A165" s="30"/>
      <c r="B165" s="32"/>
      <c r="C165" s="32"/>
      <c r="D165" s="31"/>
      <c r="E165" s="32"/>
      <c r="F165" s="32"/>
      <c r="G165" s="33" t="str">
        <f>IF(F165="","",IFERROR(INDEX(담당자마스터!$B$2:$B$300,MATCH(F165,담당자마스터!$A$2:$A$300,0)),"※미등록"))</f>
        <v/>
      </c>
      <c r="H165" s="32"/>
      <c r="I165" s="32"/>
    </row>
    <row r="166" spans="1:9" ht="15" customHeight="1">
      <c r="A166" s="30"/>
      <c r="B166" s="32"/>
      <c r="C166" s="32"/>
      <c r="D166" s="31"/>
      <c r="E166" s="32"/>
      <c r="F166" s="32"/>
      <c r="G166" s="33" t="str">
        <f>IF(F166="","",IFERROR(INDEX(담당자마스터!$B$2:$B$300,MATCH(F166,담당자마스터!$A$2:$A$300,0)),"※미등록"))</f>
        <v/>
      </c>
      <c r="H166" s="32"/>
      <c r="I166" s="32"/>
    </row>
    <row r="167" spans="1:9" ht="15" customHeight="1">
      <c r="A167" s="30"/>
      <c r="B167" s="32"/>
      <c r="C167" s="32"/>
      <c r="D167" s="31"/>
      <c r="E167" s="32"/>
      <c r="F167" s="32"/>
      <c r="G167" s="33" t="str">
        <f>IF(F167="","",IFERROR(INDEX(담당자마스터!$B$2:$B$300,MATCH(F167,담당자마스터!$A$2:$A$300,0)),"※미등록"))</f>
        <v/>
      </c>
      <c r="H167" s="32"/>
      <c r="I167" s="32"/>
    </row>
    <row r="168" spans="1:9" ht="15" customHeight="1">
      <c r="A168" s="30"/>
      <c r="B168" s="32"/>
      <c r="C168" s="32"/>
      <c r="D168" s="31"/>
      <c r="E168" s="32"/>
      <c r="F168" s="32"/>
      <c r="G168" s="33" t="str">
        <f>IF(F168="","",IFERROR(INDEX(담당자마스터!$B$2:$B$300,MATCH(F168,담당자마스터!$A$2:$A$300,0)),"※미등록"))</f>
        <v/>
      </c>
      <c r="H168" s="32"/>
      <c r="I168" s="32"/>
    </row>
    <row r="169" spans="1:9" ht="15" customHeight="1">
      <c r="A169" s="30"/>
      <c r="B169" s="32"/>
      <c r="C169" s="32"/>
      <c r="D169" s="31"/>
      <c r="E169" s="32"/>
      <c r="F169" s="32"/>
      <c r="G169" s="33" t="str">
        <f>IF(F169="","",IFERROR(INDEX(담당자마스터!$B$2:$B$300,MATCH(F169,담당자마스터!$A$2:$A$300,0)),"※미등록"))</f>
        <v/>
      </c>
      <c r="H169" s="32"/>
      <c r="I169" s="32"/>
    </row>
    <row r="170" spans="1:9" ht="15" customHeight="1">
      <c r="A170" s="30"/>
      <c r="B170" s="32"/>
      <c r="C170" s="32"/>
      <c r="D170" s="31"/>
      <c r="E170" s="32"/>
      <c r="F170" s="32"/>
      <c r="G170" s="33" t="str">
        <f>IF(F170="","",IFERROR(INDEX(담당자마스터!$B$2:$B$300,MATCH(F170,담당자마스터!$A$2:$A$300,0)),"※미등록"))</f>
        <v/>
      </c>
      <c r="H170" s="32"/>
      <c r="I170" s="32"/>
    </row>
    <row r="171" spans="1:9" ht="15" customHeight="1">
      <c r="A171" s="30"/>
      <c r="B171" s="32"/>
      <c r="C171" s="32"/>
      <c r="D171" s="31"/>
      <c r="E171" s="32"/>
      <c r="F171" s="32"/>
      <c r="G171" s="33" t="str">
        <f>IF(F171="","",IFERROR(INDEX(담당자마스터!$B$2:$B$300,MATCH(F171,담당자마스터!$A$2:$A$300,0)),"※미등록"))</f>
        <v/>
      </c>
      <c r="H171" s="32"/>
      <c r="I171" s="32"/>
    </row>
    <row r="172" spans="1:9" ht="15" customHeight="1">
      <c r="A172" s="30"/>
      <c r="B172" s="32"/>
      <c r="C172" s="32"/>
      <c r="D172" s="31"/>
      <c r="E172" s="32"/>
      <c r="F172" s="32"/>
      <c r="G172" s="33" t="str">
        <f>IF(F172="","",IFERROR(INDEX(담당자마스터!$B$2:$B$300,MATCH(F172,담당자마스터!$A$2:$A$300,0)),"※미등록"))</f>
        <v/>
      </c>
      <c r="H172" s="32"/>
      <c r="I172" s="32"/>
    </row>
    <row r="173" spans="1:9" ht="15" customHeight="1">
      <c r="A173" s="30"/>
      <c r="B173" s="32"/>
      <c r="C173" s="32"/>
      <c r="D173" s="31"/>
      <c r="E173" s="32"/>
      <c r="F173" s="32"/>
      <c r="G173" s="33" t="str">
        <f>IF(F173="","",IFERROR(INDEX(담당자마스터!$B$2:$B$300,MATCH(F173,담당자마스터!$A$2:$A$300,0)),"※미등록"))</f>
        <v/>
      </c>
      <c r="H173" s="32"/>
      <c r="I173" s="32"/>
    </row>
    <row r="174" spans="1:9" ht="15" customHeight="1">
      <c r="A174" s="30"/>
      <c r="B174" s="32"/>
      <c r="C174" s="32"/>
      <c r="D174" s="31"/>
      <c r="E174" s="32"/>
      <c r="F174" s="32"/>
      <c r="G174" s="33" t="str">
        <f>IF(F174="","",IFERROR(INDEX(담당자마스터!$B$2:$B$300,MATCH(F174,담당자마스터!$A$2:$A$300,0)),"※미등록"))</f>
        <v/>
      </c>
      <c r="H174" s="32"/>
      <c r="I174" s="32"/>
    </row>
    <row r="175" spans="1:9" ht="15" customHeight="1">
      <c r="A175" s="30"/>
      <c r="B175" s="32"/>
      <c r="C175" s="32"/>
      <c r="D175" s="31"/>
      <c r="E175" s="32"/>
      <c r="F175" s="32"/>
      <c r="G175" s="33" t="str">
        <f>IF(F175="","",IFERROR(INDEX(담당자마스터!$B$2:$B$300,MATCH(F175,담당자마스터!$A$2:$A$300,0)),"※미등록"))</f>
        <v/>
      </c>
      <c r="H175" s="32"/>
      <c r="I175" s="32"/>
    </row>
    <row r="176" spans="1:9" ht="15" customHeight="1">
      <c r="A176" s="30"/>
      <c r="B176" s="32"/>
      <c r="C176" s="32"/>
      <c r="D176" s="31"/>
      <c r="E176" s="32"/>
      <c r="F176" s="32"/>
      <c r="G176" s="33" t="str">
        <f>IF(F176="","",IFERROR(INDEX(담당자마스터!$B$2:$B$300,MATCH(F176,담당자마스터!$A$2:$A$300,0)),"※미등록"))</f>
        <v/>
      </c>
      <c r="H176" s="32"/>
      <c r="I176" s="32"/>
    </row>
    <row r="177" spans="1:9" ht="15" customHeight="1">
      <c r="A177" s="30"/>
      <c r="B177" s="32"/>
      <c r="C177" s="32"/>
      <c r="D177" s="31"/>
      <c r="E177" s="32"/>
      <c r="F177" s="32"/>
      <c r="G177" s="33" t="str">
        <f>IF(F177="","",IFERROR(INDEX(담당자마스터!$B$2:$B$300,MATCH(F177,담당자마스터!$A$2:$A$300,0)),"※미등록"))</f>
        <v/>
      </c>
      <c r="H177" s="32"/>
      <c r="I177" s="32"/>
    </row>
    <row r="178" spans="1:9" ht="15" customHeight="1">
      <c r="A178" s="30"/>
      <c r="B178" s="32"/>
      <c r="C178" s="32"/>
      <c r="D178" s="31"/>
      <c r="E178" s="32"/>
      <c r="F178" s="32"/>
      <c r="G178" s="33" t="str">
        <f>IF(F178="","",IFERROR(INDEX(담당자마스터!$B$2:$B$300,MATCH(F178,담당자마스터!$A$2:$A$300,0)),"※미등록"))</f>
        <v/>
      </c>
      <c r="H178" s="32"/>
      <c r="I178" s="32"/>
    </row>
    <row r="179" spans="1:9" ht="15" customHeight="1">
      <c r="A179" s="30"/>
      <c r="B179" s="32"/>
      <c r="C179" s="32"/>
      <c r="D179" s="31"/>
      <c r="E179" s="32"/>
      <c r="F179" s="32"/>
      <c r="G179" s="33" t="str">
        <f>IF(F179="","",IFERROR(INDEX(담당자마스터!$B$2:$B$300,MATCH(F179,담당자마스터!$A$2:$A$300,0)),"※미등록"))</f>
        <v/>
      </c>
      <c r="H179" s="32"/>
      <c r="I179" s="32"/>
    </row>
    <row r="180" spans="1:9" ht="15" customHeight="1">
      <c r="A180" s="30"/>
      <c r="B180" s="32"/>
      <c r="C180" s="32"/>
      <c r="D180" s="31"/>
      <c r="E180" s="32"/>
      <c r="F180" s="32"/>
      <c r="G180" s="33" t="str">
        <f>IF(F180="","",IFERROR(INDEX(담당자마스터!$B$2:$B$300,MATCH(F180,담당자마스터!$A$2:$A$300,0)),"※미등록"))</f>
        <v/>
      </c>
      <c r="H180" s="32"/>
      <c r="I180" s="32"/>
    </row>
    <row r="181" spans="1:9" ht="15" customHeight="1">
      <c r="A181" s="30"/>
      <c r="B181" s="32"/>
      <c r="C181" s="32"/>
      <c r="D181" s="31"/>
      <c r="E181" s="32"/>
      <c r="F181" s="32"/>
      <c r="G181" s="33" t="str">
        <f>IF(F181="","",IFERROR(INDEX(담당자마스터!$B$2:$B$300,MATCH(F181,담당자마스터!$A$2:$A$300,0)),"※미등록"))</f>
        <v/>
      </c>
      <c r="H181" s="32"/>
      <c r="I181" s="32"/>
    </row>
    <row r="182" spans="1:9" ht="15" customHeight="1">
      <c r="A182" s="30"/>
      <c r="B182" s="32"/>
      <c r="C182" s="32"/>
      <c r="D182" s="31"/>
      <c r="E182" s="32"/>
      <c r="F182" s="32"/>
      <c r="G182" s="33" t="str">
        <f>IF(F182="","",IFERROR(INDEX(담당자마스터!$B$2:$B$300,MATCH(F182,담당자마스터!$A$2:$A$300,0)),"※미등록"))</f>
        <v/>
      </c>
      <c r="H182" s="32"/>
      <c r="I182" s="32"/>
    </row>
    <row r="183" spans="1:9" ht="15" customHeight="1">
      <c r="A183" s="30"/>
      <c r="B183" s="32"/>
      <c r="C183" s="32"/>
      <c r="D183" s="31"/>
      <c r="E183" s="32"/>
      <c r="F183" s="32"/>
      <c r="G183" s="33" t="str">
        <f>IF(F183="","",IFERROR(INDEX(담당자마스터!$B$2:$B$300,MATCH(F183,담당자마스터!$A$2:$A$300,0)),"※미등록"))</f>
        <v/>
      </c>
      <c r="H183" s="32"/>
      <c r="I183" s="32"/>
    </row>
    <row r="184" spans="1:9" ht="15" customHeight="1">
      <c r="A184" s="30"/>
      <c r="B184" s="32"/>
      <c r="C184" s="32"/>
      <c r="D184" s="31"/>
      <c r="E184" s="32"/>
      <c r="F184" s="32"/>
      <c r="G184" s="33" t="str">
        <f>IF(F184="","",IFERROR(INDEX(담당자마스터!$B$2:$B$300,MATCH(F184,담당자마스터!$A$2:$A$300,0)),"※미등록"))</f>
        <v/>
      </c>
      <c r="H184" s="32"/>
      <c r="I184" s="32"/>
    </row>
    <row r="185" spans="1:9" ht="15" customHeight="1">
      <c r="A185" s="30"/>
      <c r="B185" s="32"/>
      <c r="C185" s="32"/>
      <c r="D185" s="31"/>
      <c r="E185" s="32"/>
      <c r="F185" s="32"/>
      <c r="G185" s="33" t="str">
        <f>IF(F185="","",IFERROR(INDEX(담당자마스터!$B$2:$B$300,MATCH(F185,담당자마스터!$A$2:$A$300,0)),"※미등록"))</f>
        <v/>
      </c>
      <c r="H185" s="32"/>
      <c r="I185" s="32"/>
    </row>
    <row r="186" spans="1:9" ht="15" customHeight="1">
      <c r="A186" s="30"/>
      <c r="B186" s="32"/>
      <c r="C186" s="32"/>
      <c r="D186" s="31"/>
      <c r="E186" s="32"/>
      <c r="F186" s="32"/>
      <c r="G186" s="33" t="str">
        <f>IF(F186="","",IFERROR(INDEX(담당자마스터!$B$2:$B$300,MATCH(F186,담당자마스터!$A$2:$A$300,0)),"※미등록"))</f>
        <v/>
      </c>
      <c r="H186" s="32"/>
      <c r="I186" s="32"/>
    </row>
    <row r="187" spans="1:9" ht="15" customHeight="1">
      <c r="A187" s="30"/>
      <c r="B187" s="32"/>
      <c r="C187" s="32"/>
      <c r="D187" s="31"/>
      <c r="E187" s="32"/>
      <c r="F187" s="32"/>
      <c r="G187" s="33" t="str">
        <f>IF(F187="","",IFERROR(INDEX(담당자마스터!$B$2:$B$300,MATCH(F187,담당자마스터!$A$2:$A$300,0)),"※미등록"))</f>
        <v/>
      </c>
      <c r="H187" s="32"/>
      <c r="I187" s="32"/>
    </row>
    <row r="188" spans="1:9" ht="15" customHeight="1">
      <c r="A188" s="30"/>
      <c r="B188" s="32"/>
      <c r="C188" s="32"/>
      <c r="D188" s="31"/>
      <c r="E188" s="32"/>
      <c r="F188" s="32"/>
      <c r="G188" s="33" t="str">
        <f>IF(F188="","",IFERROR(INDEX(담당자마스터!$B$2:$B$300,MATCH(F188,담당자마스터!$A$2:$A$300,0)),"※미등록"))</f>
        <v/>
      </c>
      <c r="H188" s="32"/>
      <c r="I188" s="32"/>
    </row>
    <row r="189" spans="1:9" ht="15" customHeight="1">
      <c r="A189" s="30"/>
      <c r="B189" s="32"/>
      <c r="C189" s="32"/>
      <c r="D189" s="31"/>
      <c r="E189" s="32"/>
      <c r="F189" s="32"/>
      <c r="G189" s="33" t="str">
        <f>IF(F189="","",IFERROR(INDEX(담당자마스터!$B$2:$B$300,MATCH(F189,담당자마스터!$A$2:$A$300,0)),"※미등록"))</f>
        <v/>
      </c>
      <c r="H189" s="32"/>
      <c r="I189" s="32"/>
    </row>
    <row r="190" spans="1:9" ht="15" customHeight="1">
      <c r="A190" s="30"/>
      <c r="B190" s="32"/>
      <c r="C190" s="32"/>
      <c r="D190" s="31"/>
      <c r="E190" s="32"/>
      <c r="F190" s="32"/>
      <c r="G190" s="33" t="str">
        <f>IF(F190="","",IFERROR(INDEX(담당자마스터!$B$2:$B$300,MATCH(F190,담당자마스터!$A$2:$A$300,0)),"※미등록"))</f>
        <v/>
      </c>
      <c r="H190" s="32"/>
      <c r="I190" s="32"/>
    </row>
    <row r="191" spans="1:9" ht="15" customHeight="1">
      <c r="A191" s="30"/>
      <c r="B191" s="32"/>
      <c r="C191" s="32"/>
      <c r="D191" s="31"/>
      <c r="E191" s="32"/>
      <c r="F191" s="32"/>
      <c r="G191" s="33" t="str">
        <f>IF(F191="","",IFERROR(INDEX(담당자마스터!$B$2:$B$300,MATCH(F191,담당자마스터!$A$2:$A$300,0)),"※미등록"))</f>
        <v/>
      </c>
      <c r="H191" s="32"/>
      <c r="I191" s="32"/>
    </row>
    <row r="192" spans="1:9" ht="15" customHeight="1">
      <c r="A192" s="30"/>
      <c r="B192" s="32"/>
      <c r="C192" s="32"/>
      <c r="D192" s="31"/>
      <c r="E192" s="32"/>
      <c r="F192" s="32"/>
      <c r="G192" s="33" t="str">
        <f>IF(F192="","",IFERROR(INDEX(담당자마스터!$B$2:$B$300,MATCH(F192,담당자마스터!$A$2:$A$300,0)),"※미등록"))</f>
        <v/>
      </c>
      <c r="H192" s="32"/>
      <c r="I192" s="32"/>
    </row>
    <row r="193" spans="1:9" ht="15" customHeight="1">
      <c r="A193" s="30"/>
      <c r="B193" s="32"/>
      <c r="C193" s="32"/>
      <c r="D193" s="31"/>
      <c r="E193" s="32"/>
      <c r="F193" s="32"/>
      <c r="G193" s="33" t="str">
        <f>IF(F193="","",IFERROR(INDEX(담당자마스터!$B$2:$B$300,MATCH(F193,담당자마스터!$A$2:$A$300,0)),"※미등록"))</f>
        <v/>
      </c>
      <c r="H193" s="32"/>
      <c r="I193" s="32"/>
    </row>
    <row r="194" spans="1:9" ht="15" customHeight="1">
      <c r="A194" s="30"/>
      <c r="B194" s="32"/>
      <c r="C194" s="32"/>
      <c r="D194" s="31"/>
      <c r="E194" s="32"/>
      <c r="F194" s="32"/>
      <c r="G194" s="33" t="str">
        <f>IF(F194="","",IFERROR(INDEX(담당자마스터!$B$2:$B$300,MATCH(F194,담당자마스터!$A$2:$A$300,0)),"※미등록"))</f>
        <v/>
      </c>
      <c r="H194" s="32"/>
      <c r="I194" s="32"/>
    </row>
    <row r="195" spans="1:9" ht="15" customHeight="1">
      <c r="A195" s="30"/>
      <c r="B195" s="32"/>
      <c r="C195" s="32"/>
      <c r="D195" s="31"/>
      <c r="E195" s="32"/>
      <c r="F195" s="32"/>
      <c r="G195" s="33" t="str">
        <f>IF(F195="","",IFERROR(INDEX(담당자마스터!$B$2:$B$300,MATCH(F195,담당자마스터!$A$2:$A$300,0)),"※미등록"))</f>
        <v/>
      </c>
      <c r="H195" s="32"/>
      <c r="I195" s="32"/>
    </row>
    <row r="196" spans="1:9" ht="15" customHeight="1">
      <c r="A196" s="30"/>
      <c r="B196" s="32"/>
      <c r="C196" s="32"/>
      <c r="D196" s="31"/>
      <c r="E196" s="32"/>
      <c r="F196" s="32"/>
      <c r="G196" s="33" t="str">
        <f>IF(F196="","",IFERROR(INDEX(담당자마스터!$B$2:$B$300,MATCH(F196,담당자마스터!$A$2:$A$300,0)),"※미등록"))</f>
        <v/>
      </c>
      <c r="H196" s="32"/>
      <c r="I196" s="32"/>
    </row>
    <row r="197" spans="1:9" ht="15" customHeight="1">
      <c r="A197" s="30"/>
      <c r="B197" s="32"/>
      <c r="C197" s="32"/>
      <c r="D197" s="31"/>
      <c r="E197" s="32"/>
      <c r="F197" s="32"/>
      <c r="G197" s="33" t="str">
        <f>IF(F197="","",IFERROR(INDEX(담당자마스터!$B$2:$B$300,MATCH(F197,담당자마스터!$A$2:$A$300,0)),"※미등록"))</f>
        <v/>
      </c>
      <c r="H197" s="32"/>
      <c r="I197" s="32"/>
    </row>
    <row r="198" spans="1:9" ht="15" customHeight="1">
      <c r="A198" s="30"/>
      <c r="B198" s="32"/>
      <c r="C198" s="32"/>
      <c r="D198" s="31"/>
      <c r="E198" s="32"/>
      <c r="F198" s="32"/>
      <c r="G198" s="33" t="str">
        <f>IF(F198="","",IFERROR(INDEX(담당자마스터!$B$2:$B$300,MATCH(F198,담당자마스터!$A$2:$A$300,0)),"※미등록"))</f>
        <v/>
      </c>
      <c r="H198" s="32"/>
      <c r="I198" s="32"/>
    </row>
    <row r="199" spans="1:9" ht="15" customHeight="1">
      <c r="A199" s="30"/>
      <c r="B199" s="32"/>
      <c r="C199" s="32"/>
      <c r="D199" s="31"/>
      <c r="E199" s="32"/>
      <c r="F199" s="32"/>
      <c r="G199" s="33" t="str">
        <f>IF(F199="","",IFERROR(INDEX(담당자마스터!$B$2:$B$300,MATCH(F199,담당자마스터!$A$2:$A$300,0)),"※미등록"))</f>
        <v/>
      </c>
      <c r="H199" s="32"/>
      <c r="I199" s="32"/>
    </row>
    <row r="200" spans="1:9" ht="15" customHeight="1">
      <c r="A200" s="30"/>
      <c r="B200" s="32"/>
      <c r="C200" s="32"/>
      <c r="D200" s="31"/>
      <c r="E200" s="32"/>
      <c r="F200" s="32"/>
      <c r="G200" s="33" t="str">
        <f>IF(F200="","",IFERROR(INDEX(담당자마스터!$B$2:$B$300,MATCH(F200,담당자마스터!$A$2:$A$300,0)),"※미등록"))</f>
        <v/>
      </c>
      <c r="H200" s="32"/>
      <c r="I200" s="32"/>
    </row>
    <row r="201" spans="1:9" ht="15" customHeight="1">
      <c r="A201" s="30"/>
      <c r="B201" s="32"/>
      <c r="C201" s="32"/>
      <c r="D201" s="31"/>
      <c r="E201" s="32"/>
      <c r="F201" s="32"/>
      <c r="G201" s="33" t="str">
        <f>IF(F201="","",IFERROR(INDEX(담당자마스터!$B$2:$B$300,MATCH(F201,담당자마스터!$A$2:$A$300,0)),"※미등록"))</f>
        <v/>
      </c>
      <c r="H201" s="32"/>
      <c r="I201" s="32"/>
    </row>
    <row r="202" spans="1:9" ht="15" customHeight="1">
      <c r="A202" s="30"/>
      <c r="B202" s="32"/>
      <c r="C202" s="32"/>
      <c r="D202" s="31"/>
      <c r="E202" s="32"/>
      <c r="F202" s="32"/>
      <c r="G202" s="33" t="str">
        <f>IF(F202="","",IFERROR(INDEX(담당자마스터!$B$2:$B$300,MATCH(F202,담당자마스터!$A$2:$A$300,0)),"※미등록"))</f>
        <v/>
      </c>
      <c r="H202" s="32"/>
      <c r="I202" s="32"/>
    </row>
    <row r="203" spans="1:9" ht="15" customHeight="1">
      <c r="A203" s="30"/>
      <c r="B203" s="32"/>
      <c r="C203" s="32"/>
      <c r="D203" s="31"/>
      <c r="E203" s="32"/>
      <c r="F203" s="32"/>
      <c r="G203" s="33" t="str">
        <f>IF(F203="","",IFERROR(INDEX(담당자마스터!$B$2:$B$300,MATCH(F203,담당자마스터!$A$2:$A$300,0)),"※미등록"))</f>
        <v/>
      </c>
      <c r="H203" s="32"/>
      <c r="I203" s="32"/>
    </row>
    <row r="204" spans="1:9" ht="15" customHeight="1">
      <c r="A204" s="30"/>
      <c r="B204" s="32"/>
      <c r="C204" s="32"/>
      <c r="D204" s="31"/>
      <c r="E204" s="32"/>
      <c r="F204" s="32"/>
      <c r="G204" s="33" t="str">
        <f>IF(F204="","",IFERROR(INDEX(담당자마스터!$B$2:$B$300,MATCH(F204,담당자마스터!$A$2:$A$300,0)),"※미등록"))</f>
        <v/>
      </c>
      <c r="H204" s="32"/>
      <c r="I204" s="32"/>
    </row>
    <row r="205" spans="1:9" ht="15" customHeight="1">
      <c r="A205" s="30"/>
      <c r="B205" s="32"/>
      <c r="C205" s="32"/>
      <c r="D205" s="31"/>
      <c r="E205" s="32"/>
      <c r="F205" s="32"/>
      <c r="G205" s="33" t="str">
        <f>IF(F205="","",IFERROR(INDEX(담당자마스터!$B$2:$B$300,MATCH(F205,담당자마스터!$A$2:$A$300,0)),"※미등록"))</f>
        <v/>
      </c>
      <c r="H205" s="32"/>
      <c r="I205" s="32"/>
    </row>
    <row r="206" spans="1:9" ht="15" customHeight="1">
      <c r="A206" s="30"/>
      <c r="B206" s="32"/>
      <c r="C206" s="32"/>
      <c r="D206" s="31"/>
      <c r="E206" s="32"/>
      <c r="F206" s="32"/>
      <c r="G206" s="33" t="str">
        <f>IF(F206="","",IFERROR(INDEX(담당자마스터!$B$2:$B$300,MATCH(F206,담당자마스터!$A$2:$A$300,0)),"※미등록"))</f>
        <v/>
      </c>
      <c r="H206" s="32"/>
      <c r="I206" s="32"/>
    </row>
    <row r="207" spans="1:9" ht="15" customHeight="1">
      <c r="A207" s="30"/>
      <c r="B207" s="32"/>
      <c r="C207" s="32"/>
      <c r="D207" s="31"/>
      <c r="E207" s="32"/>
      <c r="F207" s="32"/>
      <c r="G207" s="33" t="str">
        <f>IF(F207="","",IFERROR(INDEX(담당자마스터!$B$2:$B$300,MATCH(F207,담당자마스터!$A$2:$A$300,0)),"※미등록"))</f>
        <v/>
      </c>
      <c r="H207" s="32"/>
      <c r="I207" s="32"/>
    </row>
    <row r="208" spans="1:9" ht="15" customHeight="1">
      <c r="A208" s="30"/>
      <c r="B208" s="32"/>
      <c r="C208" s="32"/>
      <c r="D208" s="31"/>
      <c r="E208" s="32"/>
      <c r="F208" s="32"/>
      <c r="G208" s="33" t="str">
        <f>IF(F208="","",IFERROR(INDEX(담당자마스터!$B$2:$B$300,MATCH(F208,담당자마스터!$A$2:$A$300,0)),"※미등록"))</f>
        <v/>
      </c>
      <c r="H208" s="32"/>
      <c r="I208" s="32"/>
    </row>
    <row r="209" spans="1:9" ht="15" customHeight="1">
      <c r="A209" s="30"/>
      <c r="B209" s="32"/>
      <c r="C209" s="32"/>
      <c r="D209" s="31"/>
      <c r="E209" s="32"/>
      <c r="F209" s="32"/>
      <c r="G209" s="33" t="str">
        <f>IF(F209="","",IFERROR(INDEX(담당자마스터!$B$2:$B$300,MATCH(F209,담당자마스터!$A$2:$A$300,0)),"※미등록"))</f>
        <v/>
      </c>
      <c r="H209" s="32"/>
      <c r="I209" s="32"/>
    </row>
    <row r="210" spans="1:9" ht="15" customHeight="1">
      <c r="A210" s="30"/>
      <c r="B210" s="32"/>
      <c r="C210" s="32"/>
      <c r="D210" s="31"/>
      <c r="E210" s="32"/>
      <c r="F210" s="32"/>
      <c r="G210" s="33" t="str">
        <f>IF(F210="","",IFERROR(INDEX(담당자마스터!$B$2:$B$300,MATCH(F210,담당자마스터!$A$2:$A$300,0)),"※미등록"))</f>
        <v/>
      </c>
      <c r="H210" s="32"/>
      <c r="I210" s="32"/>
    </row>
    <row r="211" spans="1:9" ht="15" customHeight="1">
      <c r="A211" s="30"/>
      <c r="B211" s="32"/>
      <c r="C211" s="32"/>
      <c r="D211" s="31"/>
      <c r="E211" s="32"/>
      <c r="F211" s="32"/>
      <c r="G211" s="33" t="str">
        <f>IF(F211="","",IFERROR(INDEX(담당자마스터!$B$2:$B$300,MATCH(F211,담당자마스터!$A$2:$A$300,0)),"※미등록"))</f>
        <v/>
      </c>
      <c r="H211" s="32"/>
      <c r="I211" s="32"/>
    </row>
    <row r="212" spans="1:9" ht="15" customHeight="1">
      <c r="A212" s="30"/>
      <c r="B212" s="32"/>
      <c r="C212" s="32"/>
      <c r="D212" s="31"/>
      <c r="E212" s="32"/>
      <c r="F212" s="32"/>
      <c r="G212" s="33" t="str">
        <f>IF(F212="","",IFERROR(INDEX(담당자마스터!$B$2:$B$300,MATCH(F212,담당자마스터!$A$2:$A$300,0)),"※미등록"))</f>
        <v/>
      </c>
      <c r="H212" s="32"/>
      <c r="I212" s="32"/>
    </row>
    <row r="213" spans="1:9" ht="15" customHeight="1">
      <c r="A213" s="30"/>
      <c r="B213" s="32"/>
      <c r="C213" s="32"/>
      <c r="D213" s="31"/>
      <c r="E213" s="32"/>
      <c r="F213" s="32"/>
      <c r="G213" s="33" t="str">
        <f>IF(F213="","",IFERROR(INDEX(담당자마스터!$B$2:$B$300,MATCH(F213,담당자마스터!$A$2:$A$300,0)),"※미등록"))</f>
        <v/>
      </c>
      <c r="H213" s="32"/>
      <c r="I213" s="32"/>
    </row>
    <row r="214" spans="1:9" ht="15" customHeight="1">
      <c r="A214" s="30"/>
      <c r="B214" s="32"/>
      <c r="C214" s="32"/>
      <c r="D214" s="31"/>
      <c r="E214" s="32"/>
      <c r="F214" s="32"/>
      <c r="G214" s="33" t="str">
        <f>IF(F214="","",IFERROR(INDEX(담당자마스터!$B$2:$B$300,MATCH(F214,담당자마스터!$A$2:$A$300,0)),"※미등록"))</f>
        <v/>
      </c>
      <c r="H214" s="32"/>
      <c r="I214" s="32"/>
    </row>
    <row r="215" spans="1:9" ht="15" customHeight="1">
      <c r="A215" s="30"/>
      <c r="B215" s="32"/>
      <c r="C215" s="32"/>
      <c r="D215" s="31"/>
      <c r="E215" s="32"/>
      <c r="F215" s="32"/>
      <c r="G215" s="33" t="str">
        <f>IF(F215="","",IFERROR(INDEX(담당자마스터!$B$2:$B$300,MATCH(F215,담당자마스터!$A$2:$A$300,0)),"※미등록"))</f>
        <v/>
      </c>
      <c r="H215" s="32"/>
      <c r="I215" s="32"/>
    </row>
    <row r="216" spans="1:9" ht="15" customHeight="1">
      <c r="A216" s="30"/>
      <c r="B216" s="32"/>
      <c r="C216" s="32"/>
      <c r="D216" s="31"/>
      <c r="E216" s="32"/>
      <c r="F216" s="32"/>
      <c r="G216" s="33" t="str">
        <f>IF(F216="","",IFERROR(INDEX(담당자마스터!$B$2:$B$300,MATCH(F216,담당자마스터!$A$2:$A$300,0)),"※미등록"))</f>
        <v/>
      </c>
      <c r="H216" s="32"/>
      <c r="I216" s="32"/>
    </row>
    <row r="217" spans="1:9" ht="15" customHeight="1">
      <c r="A217" s="30"/>
      <c r="B217" s="32"/>
      <c r="C217" s="32"/>
      <c r="D217" s="31"/>
      <c r="E217" s="32"/>
      <c r="F217" s="32"/>
      <c r="G217" s="33" t="str">
        <f>IF(F217="","",IFERROR(INDEX(담당자마스터!$B$2:$B$300,MATCH(F217,담당자마스터!$A$2:$A$300,0)),"※미등록"))</f>
        <v/>
      </c>
      <c r="H217" s="32"/>
      <c r="I217" s="32"/>
    </row>
    <row r="218" spans="1:9" ht="15" customHeight="1">
      <c r="A218" s="30"/>
      <c r="B218" s="32"/>
      <c r="C218" s="32"/>
      <c r="D218" s="31"/>
      <c r="E218" s="32"/>
      <c r="F218" s="32"/>
      <c r="G218" s="33" t="str">
        <f>IF(F218="","",IFERROR(INDEX(담당자마스터!$B$2:$B$300,MATCH(F218,담당자마스터!$A$2:$A$300,0)),"※미등록"))</f>
        <v/>
      </c>
      <c r="H218" s="32"/>
      <c r="I218" s="32"/>
    </row>
    <row r="219" spans="1:9" ht="15" customHeight="1">
      <c r="A219" s="30"/>
      <c r="B219" s="32"/>
      <c r="C219" s="32"/>
      <c r="D219" s="31"/>
      <c r="E219" s="32"/>
      <c r="F219" s="32"/>
      <c r="G219" s="33" t="str">
        <f>IF(F219="","",IFERROR(INDEX(담당자마스터!$B$2:$B$300,MATCH(F219,담당자마스터!$A$2:$A$300,0)),"※미등록"))</f>
        <v/>
      </c>
      <c r="H219" s="32"/>
      <c r="I219" s="32"/>
    </row>
    <row r="220" spans="1:9" ht="15" customHeight="1">
      <c r="A220" s="30"/>
      <c r="B220" s="32"/>
      <c r="C220" s="32"/>
      <c r="D220" s="31"/>
      <c r="E220" s="32"/>
      <c r="F220" s="32"/>
      <c r="G220" s="33" t="str">
        <f>IF(F220="","",IFERROR(INDEX(담당자마스터!$B$2:$B$300,MATCH(F220,담당자마스터!$A$2:$A$300,0)),"※미등록"))</f>
        <v/>
      </c>
      <c r="H220" s="32"/>
      <c r="I220" s="32"/>
    </row>
    <row r="221" spans="1:9" ht="15" customHeight="1">
      <c r="A221" s="30"/>
      <c r="B221" s="32"/>
      <c r="C221" s="32"/>
      <c r="D221" s="31"/>
      <c r="E221" s="32"/>
      <c r="F221" s="32"/>
      <c r="G221" s="33" t="str">
        <f>IF(F221="","",IFERROR(INDEX(담당자마스터!$B$2:$B$300,MATCH(F221,담당자마스터!$A$2:$A$300,0)),"※미등록"))</f>
        <v/>
      </c>
      <c r="H221" s="32"/>
      <c r="I221" s="32"/>
    </row>
    <row r="222" spans="1:9" ht="15" customHeight="1">
      <c r="A222" s="30"/>
      <c r="B222" s="32"/>
      <c r="C222" s="32"/>
      <c r="D222" s="31"/>
      <c r="E222" s="32"/>
      <c r="F222" s="32"/>
      <c r="G222" s="33" t="str">
        <f>IF(F222="","",IFERROR(INDEX(담당자마스터!$B$2:$B$300,MATCH(F222,담당자마스터!$A$2:$A$300,0)),"※미등록"))</f>
        <v/>
      </c>
      <c r="H222" s="32"/>
      <c r="I222" s="32"/>
    </row>
    <row r="223" spans="1:9" ht="15" customHeight="1">
      <c r="A223" s="30"/>
      <c r="B223" s="32"/>
      <c r="C223" s="32"/>
      <c r="D223" s="31"/>
      <c r="E223" s="32"/>
      <c r="F223" s="32"/>
      <c r="G223" s="33" t="str">
        <f>IF(F223="","",IFERROR(INDEX(담당자마스터!$B$2:$B$300,MATCH(F223,담당자마스터!$A$2:$A$300,0)),"※미등록"))</f>
        <v/>
      </c>
      <c r="H223" s="32"/>
      <c r="I223" s="32"/>
    </row>
    <row r="224" spans="1:9" ht="15" customHeight="1">
      <c r="A224" s="30"/>
      <c r="B224" s="32"/>
      <c r="C224" s="32"/>
      <c r="D224" s="31"/>
      <c r="E224" s="32"/>
      <c r="F224" s="32"/>
      <c r="G224" s="33" t="str">
        <f>IF(F224="","",IFERROR(INDEX(담당자마스터!$B$2:$B$300,MATCH(F224,담당자마스터!$A$2:$A$300,0)),"※미등록"))</f>
        <v/>
      </c>
      <c r="H224" s="32"/>
      <c r="I224" s="32"/>
    </row>
    <row r="225" spans="1:9" ht="15" customHeight="1">
      <c r="A225" s="30"/>
      <c r="B225" s="32"/>
      <c r="C225" s="32"/>
      <c r="D225" s="31"/>
      <c r="E225" s="32"/>
      <c r="F225" s="32"/>
      <c r="G225" s="33" t="str">
        <f>IF(F225="","",IFERROR(INDEX(담당자마스터!$B$2:$B$300,MATCH(F225,담당자마스터!$A$2:$A$300,0)),"※미등록"))</f>
        <v/>
      </c>
      <c r="H225" s="32"/>
      <c r="I225" s="32"/>
    </row>
    <row r="226" spans="1:9" ht="15" customHeight="1">
      <c r="A226" s="30"/>
      <c r="B226" s="32"/>
      <c r="C226" s="32"/>
      <c r="D226" s="31"/>
      <c r="E226" s="32"/>
      <c r="F226" s="32"/>
      <c r="G226" s="33" t="str">
        <f>IF(F226="","",IFERROR(INDEX(담당자마스터!$B$2:$B$300,MATCH(F226,담당자마스터!$A$2:$A$300,0)),"※미등록"))</f>
        <v/>
      </c>
      <c r="H226" s="32"/>
      <c r="I226" s="32"/>
    </row>
    <row r="227" spans="1:9" ht="15" customHeight="1">
      <c r="A227" s="30"/>
      <c r="B227" s="32"/>
      <c r="C227" s="32"/>
      <c r="D227" s="31"/>
      <c r="E227" s="32"/>
      <c r="F227" s="32"/>
      <c r="G227" s="33" t="str">
        <f>IF(F227="","",IFERROR(INDEX(담당자마스터!$B$2:$B$300,MATCH(F227,담당자마스터!$A$2:$A$300,0)),"※미등록"))</f>
        <v/>
      </c>
      <c r="H227" s="32"/>
      <c r="I227" s="32"/>
    </row>
    <row r="228" spans="1:9" ht="15" customHeight="1">
      <c r="A228" s="30"/>
      <c r="B228" s="32"/>
      <c r="C228" s="32"/>
      <c r="D228" s="31"/>
      <c r="E228" s="32"/>
      <c r="F228" s="32"/>
      <c r="G228" s="33" t="str">
        <f>IF(F228="","",IFERROR(INDEX(담당자마스터!$B$2:$B$300,MATCH(F228,담당자마스터!$A$2:$A$300,0)),"※미등록"))</f>
        <v/>
      </c>
      <c r="H228" s="32"/>
      <c r="I228" s="32"/>
    </row>
    <row r="229" spans="1:9" ht="15" customHeight="1">
      <c r="A229" s="30"/>
      <c r="B229" s="32"/>
      <c r="C229" s="32"/>
      <c r="D229" s="31"/>
      <c r="E229" s="32"/>
      <c r="F229" s="32"/>
      <c r="G229" s="33" t="str">
        <f>IF(F229="","",IFERROR(INDEX(담당자마스터!$B$2:$B$300,MATCH(F229,담당자마스터!$A$2:$A$300,0)),"※미등록"))</f>
        <v/>
      </c>
      <c r="H229" s="32"/>
      <c r="I229" s="32"/>
    </row>
    <row r="230" spans="1:9" ht="15" customHeight="1">
      <c r="A230" s="30"/>
      <c r="B230" s="32"/>
      <c r="C230" s="32"/>
      <c r="D230" s="31"/>
      <c r="E230" s="32"/>
      <c r="F230" s="32"/>
      <c r="G230" s="33" t="str">
        <f>IF(F230="","",IFERROR(INDEX(담당자마스터!$B$2:$B$300,MATCH(F230,담당자마스터!$A$2:$A$300,0)),"※미등록"))</f>
        <v/>
      </c>
      <c r="H230" s="32"/>
      <c r="I230" s="32"/>
    </row>
    <row r="231" spans="1:9" ht="15" customHeight="1">
      <c r="A231" s="30"/>
      <c r="B231" s="32"/>
      <c r="C231" s="32"/>
      <c r="D231" s="31"/>
      <c r="E231" s="32"/>
      <c r="F231" s="32"/>
      <c r="G231" s="33" t="str">
        <f>IF(F231="","",IFERROR(INDEX(담당자마스터!$B$2:$B$300,MATCH(F231,담당자마스터!$A$2:$A$300,0)),"※미등록"))</f>
        <v/>
      </c>
      <c r="H231" s="32"/>
      <c r="I231" s="32"/>
    </row>
    <row r="232" spans="1:9" ht="15" customHeight="1">
      <c r="A232" s="30"/>
      <c r="B232" s="32"/>
      <c r="C232" s="32"/>
      <c r="D232" s="31"/>
      <c r="E232" s="32"/>
      <c r="F232" s="32"/>
      <c r="G232" s="33" t="str">
        <f>IF(F232="","",IFERROR(INDEX(담당자마스터!$B$2:$B$300,MATCH(F232,담당자마스터!$A$2:$A$300,0)),"※미등록"))</f>
        <v/>
      </c>
      <c r="H232" s="32"/>
      <c r="I232" s="32"/>
    </row>
    <row r="233" spans="1:9" ht="15" customHeight="1">
      <c r="A233" s="30"/>
      <c r="B233" s="32"/>
      <c r="C233" s="32"/>
      <c r="D233" s="31"/>
      <c r="E233" s="32"/>
      <c r="F233" s="32"/>
      <c r="G233" s="33" t="str">
        <f>IF(F233="","",IFERROR(INDEX(담당자마스터!$B$2:$B$300,MATCH(F233,담당자마스터!$A$2:$A$300,0)),"※미등록"))</f>
        <v/>
      </c>
      <c r="H233" s="32"/>
      <c r="I233" s="32"/>
    </row>
    <row r="234" spans="1:9" ht="15" customHeight="1">
      <c r="A234" s="30"/>
      <c r="B234" s="32"/>
      <c r="C234" s="32"/>
      <c r="D234" s="31"/>
      <c r="E234" s="32"/>
      <c r="F234" s="32"/>
      <c r="G234" s="33" t="str">
        <f>IF(F234="","",IFERROR(INDEX(담당자마스터!$B$2:$B$300,MATCH(F234,담당자마스터!$A$2:$A$300,0)),"※미등록"))</f>
        <v/>
      </c>
      <c r="H234" s="32"/>
      <c r="I234" s="32"/>
    </row>
    <row r="235" spans="1:9" ht="15" customHeight="1">
      <c r="A235" s="30"/>
      <c r="B235" s="32"/>
      <c r="C235" s="32"/>
      <c r="D235" s="31"/>
      <c r="E235" s="32"/>
      <c r="F235" s="32"/>
      <c r="G235" s="33" t="str">
        <f>IF(F235="","",IFERROR(INDEX(담당자마스터!$B$2:$B$300,MATCH(F235,담당자마스터!$A$2:$A$300,0)),"※미등록"))</f>
        <v/>
      </c>
      <c r="H235" s="32"/>
      <c r="I235" s="32"/>
    </row>
    <row r="236" spans="1:9" ht="15" customHeight="1">
      <c r="A236" s="30"/>
      <c r="B236" s="32"/>
      <c r="C236" s="32"/>
      <c r="D236" s="31"/>
      <c r="E236" s="32"/>
      <c r="F236" s="32"/>
      <c r="G236" s="33" t="str">
        <f>IF(F236="","",IFERROR(INDEX(담당자마스터!$B$2:$B$300,MATCH(F236,담당자마스터!$A$2:$A$300,0)),"※미등록"))</f>
        <v/>
      </c>
      <c r="H236" s="32"/>
      <c r="I236" s="32"/>
    </row>
    <row r="237" spans="1:9" ht="15" customHeight="1">
      <c r="A237" s="30"/>
      <c r="B237" s="32"/>
      <c r="C237" s="32"/>
      <c r="D237" s="31"/>
      <c r="E237" s="32"/>
      <c r="F237" s="32"/>
      <c r="G237" s="33" t="str">
        <f>IF(F237="","",IFERROR(INDEX(담당자마스터!$B$2:$B$300,MATCH(F237,담당자마스터!$A$2:$A$300,0)),"※미등록"))</f>
        <v/>
      </c>
      <c r="H237" s="32"/>
      <c r="I237" s="32"/>
    </row>
    <row r="238" spans="1:9" ht="15" customHeight="1">
      <c r="A238" s="30"/>
      <c r="B238" s="32"/>
      <c r="C238" s="32"/>
      <c r="D238" s="31"/>
      <c r="E238" s="32"/>
      <c r="F238" s="32"/>
      <c r="G238" s="33" t="str">
        <f>IF(F238="","",IFERROR(INDEX(담당자마스터!$B$2:$B$300,MATCH(F238,담당자마스터!$A$2:$A$300,0)),"※미등록"))</f>
        <v/>
      </c>
      <c r="H238" s="32"/>
      <c r="I238" s="32"/>
    </row>
    <row r="239" spans="1:9" ht="15" customHeight="1">
      <c r="A239" s="30"/>
      <c r="B239" s="32"/>
      <c r="C239" s="32"/>
      <c r="D239" s="31"/>
      <c r="E239" s="32"/>
      <c r="F239" s="32"/>
      <c r="G239" s="33" t="str">
        <f>IF(F239="","",IFERROR(INDEX(담당자마스터!$B$2:$B$300,MATCH(F239,담당자마스터!$A$2:$A$300,0)),"※미등록"))</f>
        <v/>
      </c>
      <c r="H239" s="32"/>
      <c r="I239" s="32"/>
    </row>
    <row r="240" spans="1:9" ht="15" customHeight="1">
      <c r="A240" s="30"/>
      <c r="B240" s="32"/>
      <c r="C240" s="32"/>
      <c r="D240" s="31"/>
      <c r="E240" s="32"/>
      <c r="F240" s="32"/>
      <c r="G240" s="33" t="str">
        <f>IF(F240="","",IFERROR(INDEX(담당자마스터!$B$2:$B$300,MATCH(F240,담당자마스터!$A$2:$A$300,0)),"※미등록"))</f>
        <v/>
      </c>
      <c r="H240" s="32"/>
      <c r="I240" s="32"/>
    </row>
    <row r="241" spans="1:9" ht="15" customHeight="1">
      <c r="A241" s="30"/>
      <c r="B241" s="32"/>
      <c r="C241" s="32"/>
      <c r="D241" s="31"/>
      <c r="E241" s="32"/>
      <c r="F241" s="32"/>
      <c r="G241" s="33" t="str">
        <f>IF(F241="","",IFERROR(INDEX(담당자마스터!$B$2:$B$300,MATCH(F241,담당자마스터!$A$2:$A$300,0)),"※미등록"))</f>
        <v/>
      </c>
      <c r="H241" s="32"/>
      <c r="I241" s="32"/>
    </row>
    <row r="242" spans="1:9" ht="15" customHeight="1">
      <c r="A242" s="30"/>
      <c r="B242" s="32"/>
      <c r="C242" s="32"/>
      <c r="D242" s="31"/>
      <c r="E242" s="32"/>
      <c r="F242" s="32"/>
      <c r="G242" s="33" t="str">
        <f>IF(F242="","",IFERROR(INDEX(담당자마스터!$B$2:$B$300,MATCH(F242,담당자마스터!$A$2:$A$300,0)),"※미등록"))</f>
        <v/>
      </c>
      <c r="H242" s="32"/>
      <c r="I242" s="32"/>
    </row>
    <row r="243" spans="1:9" ht="15" customHeight="1">
      <c r="A243" s="30"/>
      <c r="B243" s="32"/>
      <c r="C243" s="32"/>
      <c r="D243" s="31"/>
      <c r="E243" s="32"/>
      <c r="F243" s="32"/>
      <c r="G243" s="33" t="str">
        <f>IF(F243="","",IFERROR(INDEX(담당자마스터!$B$2:$B$300,MATCH(F243,담당자마스터!$A$2:$A$300,0)),"※미등록"))</f>
        <v/>
      </c>
      <c r="H243" s="32"/>
      <c r="I243" s="32"/>
    </row>
    <row r="244" spans="1:9" ht="15" customHeight="1">
      <c r="A244" s="30"/>
      <c r="B244" s="32"/>
      <c r="C244" s="32"/>
      <c r="D244" s="31"/>
      <c r="E244" s="32"/>
      <c r="F244" s="32"/>
      <c r="G244" s="33" t="str">
        <f>IF(F244="","",IFERROR(INDEX(담당자마스터!$B$2:$B$300,MATCH(F244,담당자마스터!$A$2:$A$300,0)),"※미등록"))</f>
        <v/>
      </c>
      <c r="H244" s="32"/>
      <c r="I244" s="32"/>
    </row>
    <row r="245" spans="1:9" ht="15" customHeight="1">
      <c r="A245" s="30"/>
      <c r="B245" s="32"/>
      <c r="C245" s="32"/>
      <c r="D245" s="31"/>
      <c r="E245" s="32"/>
      <c r="F245" s="32"/>
      <c r="G245" s="33" t="str">
        <f>IF(F245="","",IFERROR(INDEX(담당자마스터!$B$2:$B$300,MATCH(F245,담당자마스터!$A$2:$A$300,0)),"※미등록"))</f>
        <v/>
      </c>
      <c r="H245" s="32"/>
      <c r="I245" s="32"/>
    </row>
    <row r="246" spans="1:9" ht="15" customHeight="1">
      <c r="A246" s="30"/>
      <c r="B246" s="32"/>
      <c r="C246" s="32"/>
      <c r="D246" s="31"/>
      <c r="E246" s="32"/>
      <c r="F246" s="32"/>
      <c r="G246" s="33" t="str">
        <f>IF(F246="","",IFERROR(INDEX(담당자마스터!$B$2:$B$300,MATCH(F246,담당자마스터!$A$2:$A$300,0)),"※미등록"))</f>
        <v/>
      </c>
      <c r="H246" s="32"/>
      <c r="I246" s="32"/>
    </row>
    <row r="247" spans="1:9" ht="15" customHeight="1">
      <c r="A247" s="30"/>
      <c r="B247" s="32"/>
      <c r="C247" s="32"/>
      <c r="D247" s="31"/>
      <c r="E247" s="32"/>
      <c r="F247" s="32"/>
      <c r="G247" s="33" t="str">
        <f>IF(F247="","",IFERROR(INDEX(담당자마스터!$B$2:$B$300,MATCH(F247,담당자마스터!$A$2:$A$300,0)),"※미등록"))</f>
        <v/>
      </c>
      <c r="H247" s="32"/>
      <c r="I247" s="32"/>
    </row>
    <row r="248" spans="1:9" ht="15" customHeight="1">
      <c r="A248" s="30"/>
      <c r="B248" s="32"/>
      <c r="C248" s="32"/>
      <c r="D248" s="31"/>
      <c r="E248" s="32"/>
      <c r="F248" s="32"/>
      <c r="G248" s="33" t="str">
        <f>IF(F248="","",IFERROR(INDEX(담당자마스터!$B$2:$B$300,MATCH(F248,담당자마스터!$A$2:$A$300,0)),"※미등록"))</f>
        <v/>
      </c>
      <c r="H248" s="32"/>
      <c r="I248" s="32"/>
    </row>
    <row r="249" spans="1:9" ht="15" customHeight="1">
      <c r="A249" s="30"/>
      <c r="B249" s="32"/>
      <c r="C249" s="32"/>
      <c r="D249" s="31"/>
      <c r="E249" s="32"/>
      <c r="F249" s="32"/>
      <c r="G249" s="33" t="str">
        <f>IF(F249="","",IFERROR(INDEX(담당자마스터!$B$2:$B$300,MATCH(F249,담당자마스터!$A$2:$A$300,0)),"※미등록"))</f>
        <v/>
      </c>
      <c r="H249" s="32"/>
      <c r="I249" s="32"/>
    </row>
    <row r="250" spans="1:9" ht="15" customHeight="1">
      <c r="A250" s="30"/>
      <c r="B250" s="32"/>
      <c r="C250" s="32"/>
      <c r="D250" s="31"/>
      <c r="E250" s="32"/>
      <c r="F250" s="32"/>
      <c r="G250" s="33" t="str">
        <f>IF(F250="","",IFERROR(INDEX(담당자마스터!$B$2:$B$300,MATCH(F250,담당자마스터!$A$2:$A$300,0)),"※미등록"))</f>
        <v/>
      </c>
      <c r="H250" s="32"/>
      <c r="I250" s="32"/>
    </row>
    <row r="251" spans="1:9" ht="15" customHeight="1">
      <c r="A251" s="30"/>
      <c r="B251" s="32"/>
      <c r="C251" s="32"/>
      <c r="D251" s="31"/>
      <c r="E251" s="32"/>
      <c r="F251" s="32"/>
      <c r="G251" s="33" t="str">
        <f>IF(F251="","",IFERROR(INDEX(담당자마스터!$B$2:$B$300,MATCH(F251,담당자마스터!$A$2:$A$300,0)),"※미등록"))</f>
        <v/>
      </c>
      <c r="H251" s="32"/>
      <c r="I251" s="32"/>
    </row>
    <row r="252" spans="1:9" ht="15" customHeight="1">
      <c r="A252" s="30"/>
      <c r="B252" s="32"/>
      <c r="C252" s="32"/>
      <c r="D252" s="31"/>
      <c r="E252" s="32"/>
      <c r="F252" s="32"/>
      <c r="G252" s="33" t="str">
        <f>IF(F252="","",IFERROR(INDEX(담당자마스터!$B$2:$B$300,MATCH(F252,담당자마스터!$A$2:$A$300,0)),"※미등록"))</f>
        <v/>
      </c>
      <c r="H252" s="32"/>
      <c r="I252" s="32"/>
    </row>
    <row r="253" spans="1:9" ht="15" customHeight="1">
      <c r="A253" s="30"/>
      <c r="B253" s="32"/>
      <c r="C253" s="32"/>
      <c r="D253" s="31"/>
      <c r="E253" s="32"/>
      <c r="F253" s="32"/>
      <c r="G253" s="33" t="str">
        <f>IF(F253="","",IFERROR(INDEX(담당자마스터!$B$2:$B$300,MATCH(F253,담당자마스터!$A$2:$A$300,0)),"※미등록"))</f>
        <v/>
      </c>
      <c r="H253" s="32"/>
      <c r="I253" s="32"/>
    </row>
    <row r="254" spans="1:9" ht="15" customHeight="1">
      <c r="A254" s="30"/>
      <c r="B254" s="32"/>
      <c r="C254" s="32"/>
      <c r="D254" s="31"/>
      <c r="E254" s="32"/>
      <c r="F254" s="32"/>
      <c r="G254" s="33" t="str">
        <f>IF(F254="","",IFERROR(INDEX(담당자마스터!$B$2:$B$300,MATCH(F254,담당자마스터!$A$2:$A$300,0)),"※미등록"))</f>
        <v/>
      </c>
      <c r="H254" s="32"/>
      <c r="I254" s="32"/>
    </row>
    <row r="255" spans="1:9" ht="15" customHeight="1">
      <c r="A255" s="30"/>
      <c r="B255" s="32"/>
      <c r="C255" s="32"/>
      <c r="D255" s="31"/>
      <c r="E255" s="32"/>
      <c r="F255" s="32"/>
      <c r="G255" s="33" t="str">
        <f>IF(F255="","",IFERROR(INDEX(담당자마스터!$B$2:$B$300,MATCH(F255,담당자마스터!$A$2:$A$300,0)),"※미등록"))</f>
        <v/>
      </c>
      <c r="H255" s="32"/>
      <c r="I255" s="32"/>
    </row>
    <row r="256" spans="1:9" ht="15" customHeight="1">
      <c r="A256" s="30"/>
      <c r="B256" s="32"/>
      <c r="C256" s="32"/>
      <c r="D256" s="31"/>
      <c r="E256" s="32"/>
      <c r="F256" s="32"/>
      <c r="G256" s="33" t="str">
        <f>IF(F256="","",IFERROR(INDEX(담당자마스터!$B$2:$B$300,MATCH(F256,담당자마스터!$A$2:$A$300,0)),"※미등록"))</f>
        <v/>
      </c>
      <c r="H256" s="32"/>
      <c r="I256" s="32"/>
    </row>
    <row r="257" spans="1:9" ht="15" customHeight="1">
      <c r="A257" s="30"/>
      <c r="B257" s="32"/>
      <c r="C257" s="32"/>
      <c r="D257" s="31"/>
      <c r="E257" s="32"/>
      <c r="F257" s="32"/>
      <c r="G257" s="33" t="str">
        <f>IF(F257="","",IFERROR(INDEX(담당자마스터!$B$2:$B$300,MATCH(F257,담당자마스터!$A$2:$A$300,0)),"※미등록"))</f>
        <v/>
      </c>
      <c r="H257" s="32"/>
      <c r="I257" s="32"/>
    </row>
    <row r="258" spans="1:9" ht="15" customHeight="1">
      <c r="A258" s="30"/>
      <c r="B258" s="32"/>
      <c r="C258" s="32"/>
      <c r="D258" s="31"/>
      <c r="E258" s="32"/>
      <c r="F258" s="32"/>
      <c r="G258" s="33" t="str">
        <f>IF(F258="","",IFERROR(INDEX(담당자마스터!$B$2:$B$300,MATCH(F258,담당자마스터!$A$2:$A$300,0)),"※미등록"))</f>
        <v/>
      </c>
      <c r="H258" s="32"/>
      <c r="I258" s="32"/>
    </row>
    <row r="259" spans="1:9" ht="15" customHeight="1">
      <c r="A259" s="30"/>
      <c r="B259" s="32"/>
      <c r="C259" s="32"/>
      <c r="D259" s="31"/>
      <c r="E259" s="32"/>
      <c r="F259" s="32"/>
      <c r="G259" s="33" t="str">
        <f>IF(F259="","",IFERROR(INDEX(담당자마스터!$B$2:$B$300,MATCH(F259,담당자마스터!$A$2:$A$300,0)),"※미등록"))</f>
        <v/>
      </c>
      <c r="H259" s="32"/>
      <c r="I259" s="32"/>
    </row>
    <row r="260" spans="1:9" ht="15" customHeight="1">
      <c r="A260" s="30"/>
      <c r="B260" s="32"/>
      <c r="C260" s="32"/>
      <c r="D260" s="31"/>
      <c r="E260" s="32"/>
      <c r="F260" s="32"/>
      <c r="G260" s="33" t="str">
        <f>IF(F260="","",IFERROR(INDEX(담당자마스터!$B$2:$B$300,MATCH(F260,담당자마스터!$A$2:$A$300,0)),"※미등록"))</f>
        <v/>
      </c>
      <c r="H260" s="32"/>
      <c r="I260" s="32"/>
    </row>
    <row r="261" spans="1:9" ht="15" customHeight="1">
      <c r="A261" s="30"/>
      <c r="B261" s="32"/>
      <c r="C261" s="32"/>
      <c r="D261" s="31"/>
      <c r="E261" s="32"/>
      <c r="F261" s="32"/>
      <c r="G261" s="33" t="str">
        <f>IF(F261="","",IFERROR(INDEX(담당자마스터!$B$2:$B$300,MATCH(F261,담당자마스터!$A$2:$A$300,0)),"※미등록"))</f>
        <v/>
      </c>
      <c r="H261" s="32"/>
      <c r="I261" s="32"/>
    </row>
    <row r="262" spans="1:9" ht="15" customHeight="1">
      <c r="A262" s="30"/>
      <c r="B262" s="32"/>
      <c r="C262" s="32"/>
      <c r="D262" s="31"/>
      <c r="E262" s="32"/>
      <c r="F262" s="32"/>
      <c r="G262" s="33" t="str">
        <f>IF(F262="","",IFERROR(INDEX(담당자마스터!$B$2:$B$300,MATCH(F262,담당자마스터!$A$2:$A$300,0)),"※미등록"))</f>
        <v/>
      </c>
      <c r="H262" s="32"/>
      <c r="I262" s="32"/>
    </row>
    <row r="263" spans="1:9" ht="15" customHeight="1">
      <c r="A263" s="30"/>
      <c r="B263" s="32"/>
      <c r="C263" s="32"/>
      <c r="D263" s="31"/>
      <c r="E263" s="32"/>
      <c r="F263" s="32"/>
      <c r="G263" s="33" t="str">
        <f>IF(F263="","",IFERROR(INDEX(담당자마스터!$B$2:$B$300,MATCH(F263,담당자마스터!$A$2:$A$300,0)),"※미등록"))</f>
        <v/>
      </c>
      <c r="H263" s="32"/>
      <c r="I263" s="32"/>
    </row>
    <row r="264" spans="1:9" ht="15" customHeight="1">
      <c r="A264" s="30"/>
      <c r="B264" s="32"/>
      <c r="C264" s="32"/>
      <c r="D264" s="31"/>
      <c r="E264" s="32"/>
      <c r="F264" s="32"/>
      <c r="G264" s="33" t="str">
        <f>IF(F264="","",IFERROR(INDEX(담당자마스터!$B$2:$B$300,MATCH(F264,담당자마스터!$A$2:$A$300,0)),"※미등록"))</f>
        <v/>
      </c>
      <c r="H264" s="32"/>
      <c r="I264" s="32"/>
    </row>
    <row r="265" spans="1:9" ht="15" customHeight="1">
      <c r="A265" s="30"/>
      <c r="B265" s="32"/>
      <c r="C265" s="32"/>
      <c r="D265" s="31"/>
      <c r="E265" s="32"/>
      <c r="F265" s="32"/>
      <c r="G265" s="33" t="str">
        <f>IF(F265="","",IFERROR(INDEX(담당자마스터!$B$2:$B$300,MATCH(F265,담당자마스터!$A$2:$A$300,0)),"※미등록"))</f>
        <v/>
      </c>
      <c r="H265" s="32"/>
      <c r="I265" s="32"/>
    </row>
    <row r="266" spans="1:9" ht="15" customHeight="1">
      <c r="A266" s="30"/>
      <c r="B266" s="32"/>
      <c r="C266" s="32"/>
      <c r="D266" s="31"/>
      <c r="E266" s="32"/>
      <c r="F266" s="32"/>
      <c r="G266" s="33" t="str">
        <f>IF(F266="","",IFERROR(INDEX(담당자마스터!$B$2:$B$300,MATCH(F266,담당자마스터!$A$2:$A$300,0)),"※미등록"))</f>
        <v/>
      </c>
      <c r="H266" s="32"/>
      <c r="I266" s="32"/>
    </row>
    <row r="267" spans="1:9" ht="15" customHeight="1">
      <c r="A267" s="30"/>
      <c r="B267" s="32"/>
      <c r="C267" s="32"/>
      <c r="D267" s="31"/>
      <c r="E267" s="32"/>
      <c r="F267" s="32"/>
      <c r="G267" s="33" t="str">
        <f>IF(F267="","",IFERROR(INDEX(담당자마스터!$B$2:$B$300,MATCH(F267,담당자마스터!$A$2:$A$300,0)),"※미등록"))</f>
        <v/>
      </c>
      <c r="H267" s="32"/>
      <c r="I267" s="32"/>
    </row>
    <row r="268" spans="1:9" ht="15" customHeight="1">
      <c r="A268" s="30"/>
      <c r="B268" s="32"/>
      <c r="C268" s="32"/>
      <c r="D268" s="31"/>
      <c r="E268" s="32"/>
      <c r="F268" s="32"/>
      <c r="G268" s="33" t="str">
        <f>IF(F268="","",IFERROR(INDEX(담당자마스터!$B$2:$B$300,MATCH(F268,담당자마스터!$A$2:$A$300,0)),"※미등록"))</f>
        <v/>
      </c>
      <c r="H268" s="32"/>
      <c r="I268" s="32"/>
    </row>
    <row r="269" spans="1:9" ht="15" customHeight="1">
      <c r="A269" s="30"/>
      <c r="B269" s="32"/>
      <c r="C269" s="32"/>
      <c r="D269" s="31"/>
      <c r="E269" s="32"/>
      <c r="F269" s="32"/>
      <c r="G269" s="33" t="str">
        <f>IF(F269="","",IFERROR(INDEX(담당자마스터!$B$2:$B$300,MATCH(F269,담당자마스터!$A$2:$A$300,0)),"※미등록"))</f>
        <v/>
      </c>
      <c r="H269" s="32"/>
      <c r="I269" s="32"/>
    </row>
    <row r="270" spans="1:9" ht="15" customHeight="1">
      <c r="A270" s="30"/>
      <c r="B270" s="32"/>
      <c r="C270" s="32"/>
      <c r="D270" s="31"/>
      <c r="E270" s="32"/>
      <c r="F270" s="32"/>
      <c r="G270" s="33" t="str">
        <f>IF(F270="","",IFERROR(INDEX(담당자마스터!$B$2:$B$300,MATCH(F270,담당자마스터!$A$2:$A$300,0)),"※미등록"))</f>
        <v/>
      </c>
      <c r="H270" s="32"/>
      <c r="I270" s="32"/>
    </row>
    <row r="271" spans="1:9" ht="15" customHeight="1">
      <c r="A271" s="30"/>
      <c r="B271" s="32"/>
      <c r="C271" s="32"/>
      <c r="D271" s="31"/>
      <c r="E271" s="32"/>
      <c r="F271" s="32"/>
      <c r="G271" s="33" t="str">
        <f>IF(F271="","",IFERROR(INDEX(담당자마스터!$B$2:$B$300,MATCH(F271,담당자마스터!$A$2:$A$300,0)),"※미등록"))</f>
        <v/>
      </c>
      <c r="H271" s="32"/>
      <c r="I271" s="32"/>
    </row>
    <row r="272" spans="1:9" ht="15" customHeight="1">
      <c r="A272" s="30"/>
      <c r="B272" s="32"/>
      <c r="C272" s="32"/>
      <c r="D272" s="31"/>
      <c r="E272" s="32"/>
      <c r="F272" s="32"/>
      <c r="G272" s="33" t="str">
        <f>IF(F272="","",IFERROR(INDEX(담당자마스터!$B$2:$B$300,MATCH(F272,담당자마스터!$A$2:$A$300,0)),"※미등록"))</f>
        <v/>
      </c>
      <c r="H272" s="32"/>
      <c r="I272" s="32"/>
    </row>
    <row r="273" spans="1:9" ht="15" customHeight="1">
      <c r="A273" s="30"/>
      <c r="B273" s="32"/>
      <c r="C273" s="32"/>
      <c r="D273" s="31"/>
      <c r="E273" s="32"/>
      <c r="F273" s="32"/>
      <c r="G273" s="33" t="str">
        <f>IF(F273="","",IFERROR(INDEX(담당자마스터!$B$2:$B$300,MATCH(F273,담당자마스터!$A$2:$A$300,0)),"※미등록"))</f>
        <v/>
      </c>
      <c r="H273" s="32"/>
      <c r="I273" s="32"/>
    </row>
    <row r="274" spans="1:9" ht="15" customHeight="1">
      <c r="A274" s="30"/>
      <c r="B274" s="32"/>
      <c r="C274" s="32"/>
      <c r="D274" s="31"/>
      <c r="E274" s="32"/>
      <c r="F274" s="32"/>
      <c r="G274" s="33" t="str">
        <f>IF(F274="","",IFERROR(INDEX(담당자마스터!$B$2:$B$300,MATCH(F274,담당자마스터!$A$2:$A$300,0)),"※미등록"))</f>
        <v/>
      </c>
      <c r="H274" s="32"/>
      <c r="I274" s="32"/>
    </row>
    <row r="275" spans="1:9" ht="15" customHeight="1">
      <c r="A275" s="30"/>
      <c r="B275" s="32"/>
      <c r="C275" s="32"/>
      <c r="D275" s="31"/>
      <c r="E275" s="32"/>
      <c r="F275" s="32"/>
      <c r="G275" s="33" t="str">
        <f>IF(F275="","",IFERROR(INDEX(담당자마스터!$B$2:$B$300,MATCH(F275,담당자마스터!$A$2:$A$300,0)),"※미등록"))</f>
        <v/>
      </c>
      <c r="H275" s="32"/>
      <c r="I275" s="32"/>
    </row>
    <row r="276" spans="1:9" ht="15" customHeight="1">
      <c r="A276" s="30"/>
      <c r="B276" s="32"/>
      <c r="C276" s="32"/>
      <c r="D276" s="31"/>
      <c r="E276" s="32"/>
      <c r="F276" s="32"/>
      <c r="G276" s="33" t="str">
        <f>IF(F276="","",IFERROR(INDEX(담당자마스터!$B$2:$B$300,MATCH(F276,담당자마스터!$A$2:$A$300,0)),"※미등록"))</f>
        <v/>
      </c>
      <c r="H276" s="32"/>
      <c r="I276" s="32"/>
    </row>
    <row r="277" spans="1:9" ht="15" customHeight="1">
      <c r="A277" s="30"/>
      <c r="B277" s="32"/>
      <c r="C277" s="32"/>
      <c r="D277" s="31"/>
      <c r="E277" s="32"/>
      <c r="F277" s="32"/>
      <c r="G277" s="33" t="str">
        <f>IF(F277="","",IFERROR(INDEX(담당자마스터!$B$2:$B$300,MATCH(F277,담당자마스터!$A$2:$A$300,0)),"※미등록"))</f>
        <v/>
      </c>
      <c r="H277" s="32"/>
      <c r="I277" s="32"/>
    </row>
    <row r="278" spans="1:9" ht="15" customHeight="1">
      <c r="A278" s="30"/>
      <c r="B278" s="32"/>
      <c r="C278" s="32"/>
      <c r="D278" s="31"/>
      <c r="E278" s="32"/>
      <c r="F278" s="32"/>
      <c r="G278" s="33" t="str">
        <f>IF(F278="","",IFERROR(INDEX(담당자마스터!$B$2:$B$300,MATCH(F278,담당자마스터!$A$2:$A$300,0)),"※미등록"))</f>
        <v/>
      </c>
      <c r="H278" s="32"/>
      <c r="I278" s="32"/>
    </row>
    <row r="279" spans="1:9" ht="15" customHeight="1">
      <c r="A279" s="30"/>
      <c r="B279" s="32"/>
      <c r="C279" s="32"/>
      <c r="D279" s="31"/>
      <c r="E279" s="32"/>
      <c r="F279" s="32"/>
      <c r="G279" s="33" t="str">
        <f>IF(F279="","",IFERROR(INDEX(담당자마스터!$B$2:$B$300,MATCH(F279,담당자마스터!$A$2:$A$300,0)),"※미등록"))</f>
        <v/>
      </c>
      <c r="H279" s="32"/>
      <c r="I279" s="32"/>
    </row>
    <row r="280" spans="1:9" ht="15" customHeight="1">
      <c r="A280" s="30"/>
      <c r="B280" s="32"/>
      <c r="C280" s="32"/>
      <c r="D280" s="31"/>
      <c r="E280" s="32"/>
      <c r="F280" s="32"/>
      <c r="G280" s="33" t="str">
        <f>IF(F280="","",IFERROR(INDEX(담당자마스터!$B$2:$B$300,MATCH(F280,담당자마스터!$A$2:$A$300,0)),"※미등록"))</f>
        <v/>
      </c>
      <c r="H280" s="32"/>
      <c r="I280" s="32"/>
    </row>
    <row r="281" spans="1:9" ht="15" customHeight="1">
      <c r="A281" s="30"/>
      <c r="B281" s="32"/>
      <c r="C281" s="32"/>
      <c r="D281" s="31"/>
      <c r="E281" s="32"/>
      <c r="F281" s="32"/>
      <c r="G281" s="33" t="str">
        <f>IF(F281="","",IFERROR(INDEX(담당자마스터!$B$2:$B$300,MATCH(F281,담당자마스터!$A$2:$A$300,0)),"※미등록"))</f>
        <v/>
      </c>
      <c r="H281" s="32"/>
      <c r="I281" s="32"/>
    </row>
    <row r="282" spans="1:9" ht="15" customHeight="1">
      <c r="A282" s="30"/>
      <c r="B282" s="32"/>
      <c r="C282" s="32"/>
      <c r="D282" s="31"/>
      <c r="E282" s="32"/>
      <c r="F282" s="32"/>
      <c r="G282" s="33" t="str">
        <f>IF(F282="","",IFERROR(INDEX(담당자마스터!$B$2:$B$300,MATCH(F282,담당자마스터!$A$2:$A$300,0)),"※미등록"))</f>
        <v/>
      </c>
      <c r="H282" s="32"/>
      <c r="I282" s="32"/>
    </row>
    <row r="283" spans="1:9" ht="15" customHeight="1">
      <c r="A283" s="30"/>
      <c r="B283" s="32"/>
      <c r="C283" s="32"/>
      <c r="D283" s="31"/>
      <c r="E283" s="32"/>
      <c r="F283" s="32"/>
      <c r="G283" s="33" t="str">
        <f>IF(F283="","",IFERROR(INDEX(담당자마스터!$B$2:$B$300,MATCH(F283,담당자마스터!$A$2:$A$300,0)),"※미등록"))</f>
        <v/>
      </c>
      <c r="H283" s="32"/>
      <c r="I283" s="32"/>
    </row>
    <row r="284" spans="1:9" ht="15" customHeight="1">
      <c r="A284" s="30"/>
      <c r="B284" s="32"/>
      <c r="C284" s="32"/>
      <c r="D284" s="31"/>
      <c r="E284" s="32"/>
      <c r="F284" s="32"/>
      <c r="G284" s="33" t="str">
        <f>IF(F284="","",IFERROR(INDEX(담당자마스터!$B$2:$B$300,MATCH(F284,담당자마스터!$A$2:$A$300,0)),"※미등록"))</f>
        <v/>
      </c>
      <c r="H284" s="32"/>
      <c r="I284" s="32"/>
    </row>
    <row r="285" spans="1:9" ht="15" customHeight="1">
      <c r="A285" s="30"/>
      <c r="B285" s="32"/>
      <c r="C285" s="32"/>
      <c r="D285" s="31"/>
      <c r="E285" s="32"/>
      <c r="F285" s="32"/>
      <c r="G285" s="33" t="str">
        <f>IF(F285="","",IFERROR(INDEX(담당자마스터!$B$2:$B$300,MATCH(F285,담당자마스터!$A$2:$A$300,0)),"※미등록"))</f>
        <v/>
      </c>
      <c r="H285" s="32"/>
      <c r="I285" s="32"/>
    </row>
    <row r="286" spans="1:9" ht="15" customHeight="1">
      <c r="A286" s="30"/>
      <c r="B286" s="32"/>
      <c r="C286" s="32"/>
      <c r="D286" s="31"/>
      <c r="E286" s="32"/>
      <c r="F286" s="32"/>
      <c r="G286" s="33" t="str">
        <f>IF(F286="","",IFERROR(INDEX(담당자마스터!$B$2:$B$300,MATCH(F286,담당자마스터!$A$2:$A$300,0)),"※미등록"))</f>
        <v/>
      </c>
      <c r="H286" s="32"/>
      <c r="I286" s="32"/>
    </row>
    <row r="287" spans="1:9" ht="15" customHeight="1">
      <c r="A287" s="30"/>
      <c r="B287" s="32"/>
      <c r="C287" s="32"/>
      <c r="D287" s="31"/>
      <c r="E287" s="32"/>
      <c r="F287" s="32"/>
      <c r="G287" s="33" t="str">
        <f>IF(F287="","",IFERROR(INDEX(담당자마스터!$B$2:$B$300,MATCH(F287,담당자마스터!$A$2:$A$300,0)),"※미등록"))</f>
        <v/>
      </c>
      <c r="H287" s="32"/>
      <c r="I287" s="32"/>
    </row>
    <row r="288" spans="1:9" ht="15" customHeight="1">
      <c r="A288" s="30"/>
      <c r="B288" s="32"/>
      <c r="C288" s="32"/>
      <c r="D288" s="31"/>
      <c r="E288" s="32"/>
      <c r="F288" s="32"/>
      <c r="G288" s="33" t="str">
        <f>IF(F288="","",IFERROR(INDEX(담당자마스터!$B$2:$B$300,MATCH(F288,담당자마스터!$A$2:$A$300,0)),"※미등록"))</f>
        <v/>
      </c>
      <c r="H288" s="32"/>
      <c r="I288" s="32"/>
    </row>
    <row r="289" spans="1:9" ht="15" customHeight="1">
      <c r="A289" s="30"/>
      <c r="B289" s="32"/>
      <c r="C289" s="32"/>
      <c r="D289" s="31"/>
      <c r="E289" s="32"/>
      <c r="F289" s="32"/>
      <c r="G289" s="33" t="str">
        <f>IF(F289="","",IFERROR(INDEX(담당자마스터!$B$2:$B$300,MATCH(F289,담당자마스터!$A$2:$A$300,0)),"※미등록"))</f>
        <v/>
      </c>
      <c r="H289" s="32"/>
      <c r="I289" s="32"/>
    </row>
    <row r="290" spans="1:9" ht="15" customHeight="1">
      <c r="A290" s="30"/>
      <c r="B290" s="32"/>
      <c r="C290" s="32"/>
      <c r="D290" s="31"/>
      <c r="E290" s="32"/>
      <c r="F290" s="32"/>
      <c r="G290" s="33" t="str">
        <f>IF(F290="","",IFERROR(INDEX(담당자마스터!$B$2:$B$300,MATCH(F290,담당자마스터!$A$2:$A$300,0)),"※미등록"))</f>
        <v/>
      </c>
      <c r="H290" s="32"/>
      <c r="I290" s="32"/>
    </row>
    <row r="291" spans="1:9" ht="15" customHeight="1">
      <c r="A291" s="30"/>
      <c r="B291" s="32"/>
      <c r="C291" s="32"/>
      <c r="D291" s="31"/>
      <c r="E291" s="32"/>
      <c r="F291" s="32"/>
      <c r="G291" s="33" t="str">
        <f>IF(F291="","",IFERROR(INDEX(담당자마스터!$B$2:$B$300,MATCH(F291,담당자마스터!$A$2:$A$300,0)),"※미등록"))</f>
        <v/>
      </c>
      <c r="H291" s="32"/>
      <c r="I291" s="32"/>
    </row>
    <row r="292" spans="1:9" ht="15" customHeight="1">
      <c r="A292" s="30"/>
      <c r="B292" s="32"/>
      <c r="C292" s="32"/>
      <c r="D292" s="31"/>
      <c r="E292" s="32"/>
      <c r="F292" s="32"/>
      <c r="G292" s="33" t="str">
        <f>IF(F292="","",IFERROR(INDEX(담당자마스터!$B$2:$B$300,MATCH(F292,담당자마스터!$A$2:$A$300,0)),"※미등록"))</f>
        <v/>
      </c>
      <c r="H292" s="32"/>
      <c r="I292" s="32"/>
    </row>
    <row r="293" spans="1:9" ht="15" customHeight="1">
      <c r="A293" s="30"/>
      <c r="B293" s="32"/>
      <c r="C293" s="32"/>
      <c r="D293" s="31"/>
      <c r="E293" s="32"/>
      <c r="F293" s="32"/>
      <c r="G293" s="33" t="str">
        <f>IF(F293="","",IFERROR(INDEX(담당자마스터!$B$2:$B$300,MATCH(F293,담당자마스터!$A$2:$A$300,0)),"※미등록"))</f>
        <v/>
      </c>
      <c r="H293" s="32"/>
      <c r="I293" s="32"/>
    </row>
    <row r="294" spans="1:9" ht="15" customHeight="1">
      <c r="A294" s="30"/>
      <c r="B294" s="32"/>
      <c r="C294" s="32"/>
      <c r="D294" s="31"/>
      <c r="E294" s="32"/>
      <c r="F294" s="32"/>
      <c r="G294" s="33" t="str">
        <f>IF(F294="","",IFERROR(INDEX(담당자마스터!$B$2:$B$300,MATCH(F294,담당자마스터!$A$2:$A$300,0)),"※미등록"))</f>
        <v/>
      </c>
      <c r="H294" s="32"/>
      <c r="I294" s="32"/>
    </row>
    <row r="295" spans="1:9" ht="15" customHeight="1">
      <c r="A295" s="30"/>
      <c r="B295" s="32"/>
      <c r="C295" s="32"/>
      <c r="D295" s="31"/>
      <c r="E295" s="32"/>
      <c r="F295" s="32"/>
      <c r="G295" s="33" t="str">
        <f>IF(F295="","",IFERROR(INDEX(담당자마스터!$B$2:$B$300,MATCH(F295,담당자마스터!$A$2:$A$300,0)),"※미등록"))</f>
        <v/>
      </c>
      <c r="H295" s="32"/>
      <c r="I295" s="32"/>
    </row>
    <row r="296" spans="1:9" ht="15" customHeight="1">
      <c r="A296" s="30"/>
      <c r="B296" s="32"/>
      <c r="C296" s="32"/>
      <c r="D296" s="31"/>
      <c r="E296" s="32"/>
      <c r="F296" s="32"/>
      <c r="G296" s="33" t="str">
        <f>IF(F296="","",IFERROR(INDEX(담당자마스터!$B$2:$B$300,MATCH(F296,담당자마스터!$A$2:$A$300,0)),"※미등록"))</f>
        <v/>
      </c>
      <c r="H296" s="32"/>
      <c r="I296" s="32"/>
    </row>
    <row r="297" spans="1:9" ht="15" customHeight="1">
      <c r="A297" s="30"/>
      <c r="B297" s="32"/>
      <c r="C297" s="32"/>
      <c r="D297" s="31"/>
      <c r="E297" s="32"/>
      <c r="F297" s="32"/>
      <c r="G297" s="33" t="str">
        <f>IF(F297="","",IFERROR(INDEX(담당자마스터!$B$2:$B$300,MATCH(F297,담당자마스터!$A$2:$A$300,0)),"※미등록"))</f>
        <v/>
      </c>
      <c r="H297" s="32"/>
      <c r="I297" s="32"/>
    </row>
    <row r="298" spans="1:9" ht="15" customHeight="1">
      <c r="A298" s="30"/>
      <c r="B298" s="32"/>
      <c r="C298" s="32"/>
      <c r="D298" s="31"/>
      <c r="E298" s="32"/>
      <c r="F298" s="32"/>
      <c r="G298" s="33" t="str">
        <f>IF(F298="","",IFERROR(INDEX(담당자마스터!$B$2:$B$300,MATCH(F298,담당자마스터!$A$2:$A$300,0)),"※미등록"))</f>
        <v/>
      </c>
      <c r="H298" s="32"/>
      <c r="I298" s="32"/>
    </row>
    <row r="299" spans="1:9" ht="15" customHeight="1">
      <c r="A299" s="30"/>
      <c r="B299" s="32"/>
      <c r="C299" s="32"/>
      <c r="D299" s="31"/>
      <c r="E299" s="32"/>
      <c r="F299" s="32"/>
      <c r="G299" s="33" t="str">
        <f>IF(F299="","",IFERROR(INDEX(담당자마스터!$B$2:$B$300,MATCH(F299,담당자마스터!$A$2:$A$300,0)),"※미등록"))</f>
        <v/>
      </c>
      <c r="H299" s="32"/>
      <c r="I299" s="32"/>
    </row>
    <row r="300" spans="1:9" ht="15" customHeight="1">
      <c r="A300" s="30"/>
      <c r="B300" s="32"/>
      <c r="C300" s="32"/>
      <c r="D300" s="31"/>
      <c r="E300" s="32"/>
      <c r="F300" s="32"/>
      <c r="G300" s="33" t="str">
        <f>IF(F300="","",IFERROR(INDEX(담당자마스터!$B$2:$B$300,MATCH(F300,담당자마스터!$A$2:$A$300,0)),"※미등록"))</f>
        <v/>
      </c>
      <c r="H300" s="32"/>
      <c r="I300" s="32"/>
    </row>
  </sheetData>
  <autoFilter ref="A1:I300" xr:uid="{00000000-0009-0000-0000-000001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입력 오류" error="코드표에 등록된 값만 입력할 수 있습니다." xr:uid="{00000000-0002-0000-0100-000000000000}">
          <x14:formula1>
            <xm:f>코드표!$E$2:$E$5</xm:f>
          </x14:formula1>
          <x14:formula2>
            <xm:f>0</xm:f>
          </x14:formula2>
          <xm:sqref>D2:D300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0"/>
  <sheetViews>
    <sheetView tabSelected="1" zoomScaleNormal="100" workbookViewId="0">
      <pane ySplit="1" topLeftCell="A2" activePane="bottomLeft" state="frozen"/>
      <selection pane="bottomLeft" activeCell="D37" sqref="D37"/>
    </sheetView>
  </sheetViews>
  <sheetFormatPr defaultColWidth="8.7109375" defaultRowHeight="15"/>
  <cols>
    <col min="1" max="1" width="10" customWidth="1"/>
    <col min="2" max="2" width="26" customWidth="1"/>
    <col min="3" max="3" width="10" customWidth="1"/>
    <col min="4" max="4" width="14" customWidth="1"/>
    <col min="5" max="5" width="11" customWidth="1"/>
    <col min="6" max="6" width="30" customWidth="1"/>
    <col min="7" max="7" width="6" customWidth="1"/>
    <col min="8" max="8" width="8" customWidth="1"/>
    <col min="9" max="9" width="22" customWidth="1"/>
    <col min="10" max="10" width="30" customWidth="1"/>
    <col min="11" max="11" width="11" customWidth="1"/>
  </cols>
  <sheetData>
    <row r="1" spans="1:11" ht="30" customHeight="1">
      <c r="A1" s="28" t="s">
        <v>196</v>
      </c>
      <c r="B1" s="28" t="s">
        <v>197</v>
      </c>
      <c r="C1" s="28" t="s">
        <v>198</v>
      </c>
      <c r="D1" s="28" t="s">
        <v>199</v>
      </c>
      <c r="E1" s="28" t="s">
        <v>200</v>
      </c>
      <c r="F1" s="28" t="s">
        <v>201</v>
      </c>
      <c r="G1" s="28" t="s">
        <v>202</v>
      </c>
      <c r="H1" s="28" t="s">
        <v>203</v>
      </c>
      <c r="I1" s="28" t="s">
        <v>204</v>
      </c>
      <c r="J1" s="28" t="s">
        <v>205</v>
      </c>
      <c r="K1" s="28" t="s">
        <v>206</v>
      </c>
    </row>
    <row r="2" spans="1:11" ht="15" customHeight="1">
      <c r="A2" s="30" t="s">
        <v>207</v>
      </c>
      <c r="B2" s="31" t="s">
        <v>208</v>
      </c>
      <c r="C2" s="31" t="s">
        <v>209</v>
      </c>
      <c r="D2" s="31" t="s">
        <v>210</v>
      </c>
      <c r="E2" s="31" t="s">
        <v>210</v>
      </c>
      <c r="F2" s="31" t="s">
        <v>211</v>
      </c>
      <c r="G2" s="32" t="s">
        <v>212</v>
      </c>
      <c r="H2" s="32" t="s">
        <v>213</v>
      </c>
      <c r="I2" s="32"/>
      <c r="J2" s="31" t="s">
        <v>214</v>
      </c>
      <c r="K2" s="32"/>
    </row>
    <row r="3" spans="1:11" ht="15" customHeight="1">
      <c r="A3" s="30" t="s">
        <v>215</v>
      </c>
      <c r="B3" s="31" t="s">
        <v>216</v>
      </c>
      <c r="C3" s="31" t="s">
        <v>209</v>
      </c>
      <c r="D3" s="31" t="s">
        <v>209</v>
      </c>
      <c r="E3" s="31" t="s">
        <v>217</v>
      </c>
      <c r="F3" s="31" t="s">
        <v>218</v>
      </c>
      <c r="G3" s="32" t="s">
        <v>219</v>
      </c>
      <c r="H3" s="32" t="s">
        <v>213</v>
      </c>
      <c r="I3" s="32"/>
      <c r="J3" s="32"/>
      <c r="K3" s="32"/>
    </row>
    <row r="4" spans="1:11" ht="15" customHeight="1">
      <c r="A4" s="30" t="s">
        <v>220</v>
      </c>
      <c r="B4" s="31" t="s">
        <v>221</v>
      </c>
      <c r="C4" s="31" t="s">
        <v>209</v>
      </c>
      <c r="D4" s="31" t="s">
        <v>209</v>
      </c>
      <c r="E4" s="31" t="s">
        <v>217</v>
      </c>
      <c r="F4" s="32"/>
      <c r="G4" s="32" t="s">
        <v>219</v>
      </c>
      <c r="H4" s="32" t="s">
        <v>213</v>
      </c>
      <c r="I4" s="32"/>
      <c r="J4" s="32"/>
      <c r="K4" s="32"/>
    </row>
    <row r="5" spans="1:11" ht="15" customHeight="1">
      <c r="A5" s="30" t="s">
        <v>222</v>
      </c>
      <c r="B5" s="31" t="s">
        <v>223</v>
      </c>
      <c r="C5" s="31" t="s">
        <v>209</v>
      </c>
      <c r="D5" s="31" t="s">
        <v>209</v>
      </c>
      <c r="E5" s="31" t="s">
        <v>217</v>
      </c>
      <c r="F5" s="32"/>
      <c r="G5" s="32" t="s">
        <v>219</v>
      </c>
      <c r="H5" s="32" t="s">
        <v>213</v>
      </c>
      <c r="I5" s="32"/>
      <c r="J5" s="32" t="s">
        <v>224</v>
      </c>
      <c r="K5" s="32"/>
    </row>
    <row r="6" spans="1:11" ht="15" customHeight="1">
      <c r="A6" s="30" t="s">
        <v>225</v>
      </c>
      <c r="B6" s="31" t="s">
        <v>226</v>
      </c>
      <c r="C6" s="31" t="s">
        <v>209</v>
      </c>
      <c r="D6" s="31" t="s">
        <v>226</v>
      </c>
      <c r="E6" s="31" t="s">
        <v>217</v>
      </c>
      <c r="F6" s="31" t="s">
        <v>227</v>
      </c>
      <c r="G6" s="32" t="s">
        <v>219</v>
      </c>
      <c r="H6" s="32" t="s">
        <v>213</v>
      </c>
      <c r="I6" s="32"/>
      <c r="J6" s="32"/>
      <c r="K6" s="32"/>
    </row>
    <row r="7" spans="1:11" ht="15" customHeight="1">
      <c r="A7" s="30" t="s">
        <v>228</v>
      </c>
      <c r="B7" s="31" t="s">
        <v>229</v>
      </c>
      <c r="C7" s="31" t="s">
        <v>209</v>
      </c>
      <c r="D7" s="31" t="s">
        <v>230</v>
      </c>
      <c r="E7" s="31" t="s">
        <v>217</v>
      </c>
      <c r="F7" s="32"/>
      <c r="G7" s="32" t="s">
        <v>219</v>
      </c>
      <c r="H7" s="32" t="s">
        <v>213</v>
      </c>
      <c r="I7" s="32"/>
      <c r="J7" s="32" t="s">
        <v>231</v>
      </c>
      <c r="K7" s="32"/>
    </row>
    <row r="8" spans="1:11" ht="15" customHeight="1">
      <c r="A8" s="30" t="s">
        <v>232</v>
      </c>
      <c r="B8" s="31" t="s">
        <v>233</v>
      </c>
      <c r="C8" s="31" t="s">
        <v>209</v>
      </c>
      <c r="D8" s="31" t="s">
        <v>230</v>
      </c>
      <c r="E8" s="31" t="s">
        <v>217</v>
      </c>
      <c r="F8" s="32"/>
      <c r="G8" s="32" t="s">
        <v>219</v>
      </c>
      <c r="H8" s="32" t="s">
        <v>213</v>
      </c>
      <c r="I8" s="32"/>
      <c r="J8" s="32"/>
      <c r="K8" s="32"/>
    </row>
    <row r="9" spans="1:11" ht="15" customHeight="1">
      <c r="A9" s="30" t="s">
        <v>234</v>
      </c>
      <c r="B9" s="31" t="s">
        <v>235</v>
      </c>
      <c r="C9" s="31" t="s">
        <v>236</v>
      </c>
      <c r="D9" s="31" t="s">
        <v>210</v>
      </c>
      <c r="E9" s="31" t="s">
        <v>210</v>
      </c>
      <c r="F9" s="31" t="s">
        <v>237</v>
      </c>
      <c r="G9" s="32" t="s">
        <v>212</v>
      </c>
      <c r="H9" s="32" t="s">
        <v>213</v>
      </c>
      <c r="I9" s="32"/>
      <c r="J9" s="32"/>
      <c r="K9" s="32"/>
    </row>
    <row r="10" spans="1:11" ht="15" customHeight="1">
      <c r="A10" s="30" t="s">
        <v>238</v>
      </c>
      <c r="B10" s="31" t="s">
        <v>239</v>
      </c>
      <c r="C10" s="31" t="s">
        <v>236</v>
      </c>
      <c r="D10" s="31" t="s">
        <v>240</v>
      </c>
      <c r="E10" s="31" t="s">
        <v>217</v>
      </c>
      <c r="F10" s="31" t="s">
        <v>241</v>
      </c>
      <c r="G10" s="32" t="s">
        <v>219</v>
      </c>
      <c r="H10" s="32" t="s">
        <v>213</v>
      </c>
      <c r="I10" s="32"/>
      <c r="J10" s="31" t="s">
        <v>242</v>
      </c>
      <c r="K10" s="32"/>
    </row>
    <row r="11" spans="1:11" ht="15" customHeight="1">
      <c r="A11" s="30" t="s">
        <v>243</v>
      </c>
      <c r="B11" s="31" t="s">
        <v>244</v>
      </c>
      <c r="C11" s="31" t="s">
        <v>236</v>
      </c>
      <c r="D11" s="31" t="s">
        <v>88</v>
      </c>
      <c r="E11" s="31" t="s">
        <v>217</v>
      </c>
      <c r="F11" s="31" t="s">
        <v>245</v>
      </c>
      <c r="G11" s="32" t="s">
        <v>219</v>
      </c>
      <c r="H11" s="32" t="s">
        <v>213</v>
      </c>
      <c r="I11" s="32"/>
      <c r="J11" s="31" t="s">
        <v>246</v>
      </c>
      <c r="K11" s="32"/>
    </row>
    <row r="12" spans="1:11" ht="15" customHeight="1">
      <c r="A12" s="30" t="s">
        <v>247</v>
      </c>
      <c r="B12" s="31" t="s">
        <v>248</v>
      </c>
      <c r="C12" s="31" t="s">
        <v>236</v>
      </c>
      <c r="D12" s="31" t="s">
        <v>249</v>
      </c>
      <c r="E12" s="31" t="s">
        <v>217</v>
      </c>
      <c r="F12" s="31" t="s">
        <v>250</v>
      </c>
      <c r="G12" s="32" t="s">
        <v>219</v>
      </c>
      <c r="H12" s="32" t="s">
        <v>213</v>
      </c>
      <c r="I12" s="32"/>
      <c r="J12" s="32"/>
      <c r="K12" s="32"/>
    </row>
    <row r="13" spans="1:11" ht="15" customHeight="1">
      <c r="A13" s="30" t="s">
        <v>251</v>
      </c>
      <c r="B13" s="31" t="s">
        <v>252</v>
      </c>
      <c r="C13" s="31" t="s">
        <v>236</v>
      </c>
      <c r="D13" s="31" t="s">
        <v>253</v>
      </c>
      <c r="E13" s="31" t="s">
        <v>253</v>
      </c>
      <c r="F13" s="32"/>
      <c r="G13" s="32" t="s">
        <v>219</v>
      </c>
      <c r="H13" s="32" t="s">
        <v>213</v>
      </c>
      <c r="I13" s="32"/>
      <c r="J13" s="31" t="s">
        <v>254</v>
      </c>
      <c r="K13" s="32"/>
    </row>
    <row r="14" spans="1:11" ht="15" customHeight="1">
      <c r="A14" s="30" t="s">
        <v>255</v>
      </c>
      <c r="B14" s="32" t="s">
        <v>256</v>
      </c>
      <c r="C14" s="31" t="s">
        <v>236</v>
      </c>
      <c r="D14" s="31" t="s">
        <v>257</v>
      </c>
      <c r="E14" s="31" t="s">
        <v>217</v>
      </c>
      <c r="F14" s="31" t="s">
        <v>258</v>
      </c>
      <c r="G14" s="32" t="s">
        <v>219</v>
      </c>
      <c r="H14" s="32" t="s">
        <v>213</v>
      </c>
      <c r="I14" s="32"/>
      <c r="J14" s="32" t="s">
        <v>259</v>
      </c>
      <c r="K14" s="32"/>
    </row>
    <row r="15" spans="1:11" ht="15" customHeight="1">
      <c r="A15" s="30" t="s">
        <v>260</v>
      </c>
      <c r="B15" s="31" t="s">
        <v>261</v>
      </c>
      <c r="C15" s="31" t="s">
        <v>236</v>
      </c>
      <c r="D15" s="31" t="s">
        <v>262</v>
      </c>
      <c r="E15" s="31" t="s">
        <v>262</v>
      </c>
      <c r="F15" s="32"/>
      <c r="G15" s="32" t="s">
        <v>219</v>
      </c>
      <c r="H15" s="32" t="s">
        <v>213</v>
      </c>
      <c r="I15" s="32"/>
      <c r="J15" s="32"/>
      <c r="K15" s="32"/>
    </row>
    <row r="16" spans="1:11" ht="15" customHeight="1">
      <c r="A16" s="30" t="s">
        <v>263</v>
      </c>
      <c r="B16" s="31" t="s">
        <v>264</v>
      </c>
      <c r="C16" s="31" t="s">
        <v>265</v>
      </c>
      <c r="D16" s="31" t="s">
        <v>210</v>
      </c>
      <c r="E16" s="31" t="s">
        <v>210</v>
      </c>
      <c r="F16" s="31" t="s">
        <v>266</v>
      </c>
      <c r="G16" s="32" t="s">
        <v>212</v>
      </c>
      <c r="H16" s="32" t="s">
        <v>213</v>
      </c>
      <c r="I16" s="32"/>
      <c r="J16" s="32"/>
      <c r="K16" s="32"/>
    </row>
    <row r="17" spans="1:11" ht="15" customHeight="1">
      <c r="A17" s="30" t="s">
        <v>267</v>
      </c>
      <c r="B17" s="31" t="s">
        <v>268</v>
      </c>
      <c r="C17" s="31" t="s">
        <v>265</v>
      </c>
      <c r="D17" s="31" t="s">
        <v>269</v>
      </c>
      <c r="E17" s="31" t="s">
        <v>269</v>
      </c>
      <c r="F17" s="31" t="s">
        <v>270</v>
      </c>
      <c r="G17" s="32" t="s">
        <v>113</v>
      </c>
      <c r="H17" s="32" t="s">
        <v>213</v>
      </c>
      <c r="I17" s="32"/>
      <c r="J17" s="31" t="s">
        <v>271</v>
      </c>
      <c r="K17" s="32"/>
    </row>
    <row r="18" spans="1:11" ht="15" customHeight="1">
      <c r="A18" s="30" t="s">
        <v>272</v>
      </c>
      <c r="B18" s="31" t="s">
        <v>273</v>
      </c>
      <c r="C18" s="31" t="s">
        <v>265</v>
      </c>
      <c r="D18" s="31" t="s">
        <v>269</v>
      </c>
      <c r="E18" s="31" t="s">
        <v>269</v>
      </c>
      <c r="F18" s="31" t="s">
        <v>274</v>
      </c>
      <c r="G18" s="32" t="s">
        <v>113</v>
      </c>
      <c r="H18" s="32" t="s">
        <v>213</v>
      </c>
      <c r="I18" s="32"/>
      <c r="J18" s="32"/>
      <c r="K18" s="32"/>
    </row>
    <row r="19" spans="1:11" ht="15" customHeight="1">
      <c r="A19" s="30" t="s">
        <v>275</v>
      </c>
      <c r="B19" s="31" t="s">
        <v>276</v>
      </c>
      <c r="C19" s="31" t="s">
        <v>265</v>
      </c>
      <c r="D19" s="31" t="s">
        <v>269</v>
      </c>
      <c r="E19" s="31" t="s">
        <v>269</v>
      </c>
      <c r="F19" s="32"/>
      <c r="G19" s="32" t="s">
        <v>113</v>
      </c>
      <c r="H19" s="32" t="s">
        <v>213</v>
      </c>
      <c r="I19" s="32"/>
      <c r="J19" s="32"/>
      <c r="K19" s="32"/>
    </row>
    <row r="20" spans="1:11" ht="15" customHeight="1">
      <c r="A20" s="30" t="s">
        <v>277</v>
      </c>
      <c r="B20" s="31" t="s">
        <v>278</v>
      </c>
      <c r="C20" s="31" t="s">
        <v>265</v>
      </c>
      <c r="D20" s="31" t="s">
        <v>279</v>
      </c>
      <c r="E20" s="31" t="s">
        <v>262</v>
      </c>
      <c r="F20" s="31" t="s">
        <v>280</v>
      </c>
      <c r="G20" s="32" t="s">
        <v>219</v>
      </c>
      <c r="H20" s="32" t="s">
        <v>213</v>
      </c>
      <c r="I20" s="32"/>
      <c r="J20" s="32"/>
      <c r="K20" s="32"/>
    </row>
    <row r="21" spans="1:11" ht="15" customHeight="1">
      <c r="A21" s="30" t="s">
        <v>281</v>
      </c>
      <c r="B21" s="31" t="s">
        <v>282</v>
      </c>
      <c r="C21" s="31" t="s">
        <v>265</v>
      </c>
      <c r="D21" s="31" t="s">
        <v>283</v>
      </c>
      <c r="E21" s="31" t="s">
        <v>262</v>
      </c>
      <c r="F21" s="32"/>
      <c r="G21" s="32" t="s">
        <v>219</v>
      </c>
      <c r="H21" s="32" t="s">
        <v>213</v>
      </c>
      <c r="I21" s="32"/>
      <c r="J21" s="32"/>
      <c r="K21" s="32"/>
    </row>
    <row r="22" spans="1:11" ht="15" customHeight="1">
      <c r="A22" s="30" t="s">
        <v>284</v>
      </c>
      <c r="B22" s="32" t="s">
        <v>285</v>
      </c>
      <c r="C22" s="32" t="s">
        <v>286</v>
      </c>
      <c r="D22" s="31" t="s">
        <v>210</v>
      </c>
      <c r="E22" s="31" t="s">
        <v>210</v>
      </c>
      <c r="F22" s="31" t="s">
        <v>287</v>
      </c>
      <c r="G22" s="32" t="s">
        <v>212</v>
      </c>
      <c r="H22" s="32" t="s">
        <v>213</v>
      </c>
      <c r="I22" s="32"/>
      <c r="J22" s="32"/>
      <c r="K22" s="32"/>
    </row>
    <row r="23" spans="1:11" ht="15" customHeight="1">
      <c r="A23" s="30" t="s">
        <v>288</v>
      </c>
      <c r="B23" s="32" t="s">
        <v>289</v>
      </c>
      <c r="C23" s="32" t="s">
        <v>286</v>
      </c>
      <c r="D23" s="31" t="s">
        <v>290</v>
      </c>
      <c r="E23" s="31" t="s">
        <v>291</v>
      </c>
      <c r="F23" s="31" t="s">
        <v>292</v>
      </c>
      <c r="G23" s="32" t="s">
        <v>113</v>
      </c>
      <c r="H23" s="32" t="s">
        <v>293</v>
      </c>
      <c r="I23" s="32"/>
      <c r="J23" s="32"/>
      <c r="K23" s="32"/>
    </row>
    <row r="24" spans="1:11" ht="15" customHeight="1">
      <c r="A24" s="30" t="s">
        <v>294</v>
      </c>
      <c r="B24" s="32" t="s">
        <v>295</v>
      </c>
      <c r="C24" s="32" t="s">
        <v>286</v>
      </c>
      <c r="D24" s="31" t="s">
        <v>290</v>
      </c>
      <c r="E24" s="31" t="s">
        <v>291</v>
      </c>
      <c r="F24" s="32"/>
      <c r="G24" s="32" t="s">
        <v>113</v>
      </c>
      <c r="H24" s="32" t="s">
        <v>293</v>
      </c>
      <c r="I24" s="32"/>
      <c r="J24" s="32"/>
      <c r="K24" s="32"/>
    </row>
    <row r="25" spans="1:11" ht="15" customHeight="1">
      <c r="A25" s="30" t="s">
        <v>296</v>
      </c>
      <c r="B25" s="31" t="s">
        <v>297</v>
      </c>
      <c r="C25" s="32" t="s">
        <v>286</v>
      </c>
      <c r="D25" s="31" t="s">
        <v>298</v>
      </c>
      <c r="E25" s="31" t="s">
        <v>291</v>
      </c>
      <c r="F25" s="32"/>
      <c r="G25" s="32" t="s">
        <v>113</v>
      </c>
      <c r="H25" s="32" t="s">
        <v>293</v>
      </c>
      <c r="I25" s="32"/>
      <c r="J25" s="32"/>
      <c r="K25" s="32"/>
    </row>
    <row r="26" spans="1:11" ht="15" customHeight="1">
      <c r="A26" s="30" t="s">
        <v>299</v>
      </c>
      <c r="B26" s="31" t="s">
        <v>300</v>
      </c>
      <c r="C26" s="32" t="s">
        <v>286</v>
      </c>
      <c r="D26" s="31" t="s">
        <v>298</v>
      </c>
      <c r="E26" s="31" t="s">
        <v>291</v>
      </c>
      <c r="F26" s="32"/>
      <c r="G26" s="32" t="s">
        <v>113</v>
      </c>
      <c r="H26" s="32" t="s">
        <v>293</v>
      </c>
      <c r="I26" s="32"/>
      <c r="J26" s="31" t="s">
        <v>301</v>
      </c>
      <c r="K26" s="32"/>
    </row>
    <row r="27" spans="1:11" ht="15" customHeight="1">
      <c r="A27" s="30"/>
      <c r="B27" s="32"/>
      <c r="C27" s="32"/>
      <c r="D27" s="32"/>
      <c r="E27" s="31"/>
      <c r="F27" s="32"/>
      <c r="G27" s="32"/>
      <c r="H27" s="32"/>
      <c r="I27" s="32"/>
      <c r="J27" s="32"/>
      <c r="K27" s="32"/>
    </row>
    <row r="28" spans="1:11" ht="15" customHeight="1">
      <c r="A28" s="30"/>
      <c r="B28" s="32"/>
      <c r="C28" s="32"/>
      <c r="D28" s="32"/>
      <c r="E28" s="31"/>
      <c r="F28" s="32"/>
      <c r="G28" s="32"/>
      <c r="H28" s="32"/>
      <c r="I28" s="32"/>
      <c r="J28" s="32"/>
      <c r="K28" s="32"/>
    </row>
    <row r="29" spans="1:11" ht="15" customHeight="1">
      <c r="A29" s="30"/>
      <c r="B29" s="32"/>
      <c r="C29" s="32"/>
      <c r="D29" s="32"/>
      <c r="E29" s="31"/>
      <c r="F29" s="32"/>
      <c r="G29" s="32"/>
      <c r="H29" s="32"/>
      <c r="I29" s="32"/>
      <c r="J29" s="32"/>
      <c r="K29" s="32"/>
    </row>
    <row r="30" spans="1:11" ht="15" customHeight="1">
      <c r="A30" s="30"/>
      <c r="B30" s="32"/>
      <c r="C30" s="32"/>
      <c r="D30" s="32"/>
      <c r="E30" s="31"/>
      <c r="F30" s="32"/>
      <c r="G30" s="32"/>
      <c r="H30" s="32"/>
      <c r="I30" s="32"/>
      <c r="J30" s="32"/>
      <c r="K30" s="32"/>
    </row>
    <row r="31" spans="1:11" ht="15" customHeight="1">
      <c r="A31" s="30"/>
      <c r="B31" s="32"/>
      <c r="C31" s="32"/>
      <c r="D31" s="32"/>
      <c r="E31" s="31"/>
      <c r="F31" s="32"/>
      <c r="G31" s="32"/>
      <c r="H31" s="32"/>
      <c r="I31" s="32"/>
      <c r="J31" s="32"/>
      <c r="K31" s="32"/>
    </row>
    <row r="32" spans="1:11" ht="15" customHeight="1">
      <c r="A32" s="30"/>
      <c r="B32" s="32"/>
      <c r="C32" s="32"/>
      <c r="D32" s="32"/>
      <c r="E32" s="31"/>
      <c r="F32" s="32"/>
      <c r="G32" s="32"/>
      <c r="H32" s="32"/>
      <c r="I32" s="32"/>
      <c r="J32" s="32"/>
      <c r="K32" s="32"/>
    </row>
    <row r="33" spans="1:11" ht="15" customHeight="1">
      <c r="A33" s="30"/>
      <c r="B33" s="32"/>
      <c r="C33" s="32"/>
      <c r="D33" s="32"/>
      <c r="E33" s="31"/>
      <c r="F33" s="32"/>
      <c r="G33" s="32"/>
      <c r="H33" s="32"/>
      <c r="I33" s="32"/>
      <c r="J33" s="32"/>
      <c r="K33" s="32"/>
    </row>
    <row r="34" spans="1:11" ht="15" customHeight="1">
      <c r="A34" s="30"/>
      <c r="B34" s="32"/>
      <c r="C34" s="32"/>
      <c r="D34" s="32"/>
      <c r="E34" s="31"/>
      <c r="F34" s="32"/>
      <c r="G34" s="32"/>
      <c r="H34" s="32"/>
      <c r="I34" s="32"/>
      <c r="J34" s="32"/>
      <c r="K34" s="32"/>
    </row>
    <row r="35" spans="1:11" ht="15" customHeight="1">
      <c r="A35" s="30"/>
      <c r="B35" s="32"/>
      <c r="C35" s="32"/>
      <c r="D35" s="32"/>
      <c r="E35" s="31"/>
      <c r="F35" s="32"/>
      <c r="G35" s="32"/>
      <c r="H35" s="32"/>
      <c r="I35" s="32"/>
      <c r="J35" s="32"/>
      <c r="K35" s="32"/>
    </row>
    <row r="36" spans="1:11" ht="15" customHeight="1">
      <c r="A36" s="30"/>
      <c r="B36" s="32"/>
      <c r="C36" s="32"/>
      <c r="D36" s="32"/>
      <c r="E36" s="31"/>
      <c r="F36" s="32"/>
      <c r="G36" s="32"/>
      <c r="H36" s="32"/>
      <c r="I36" s="32"/>
      <c r="J36" s="32"/>
      <c r="K36" s="32"/>
    </row>
    <row r="37" spans="1:11" ht="15" customHeight="1">
      <c r="A37" s="30"/>
      <c r="B37" s="32"/>
      <c r="C37" s="32"/>
      <c r="D37" s="32"/>
      <c r="E37" s="31"/>
      <c r="F37" s="32"/>
      <c r="G37" s="32"/>
      <c r="H37" s="32"/>
      <c r="I37" s="32"/>
      <c r="J37" s="32"/>
      <c r="K37" s="32"/>
    </row>
    <row r="38" spans="1:11" ht="15" customHeight="1">
      <c r="A38" s="30"/>
      <c r="B38" s="32"/>
      <c r="C38" s="32"/>
      <c r="D38" s="32"/>
      <c r="E38" s="31"/>
      <c r="F38" s="32"/>
      <c r="G38" s="32"/>
      <c r="H38" s="32"/>
      <c r="I38" s="32"/>
      <c r="J38" s="32"/>
      <c r="K38" s="32"/>
    </row>
    <row r="39" spans="1:11" ht="15" customHeight="1">
      <c r="A39" s="30"/>
      <c r="B39" s="32"/>
      <c r="C39" s="32"/>
      <c r="D39" s="32"/>
      <c r="E39" s="31"/>
      <c r="F39" s="32"/>
      <c r="G39" s="32"/>
      <c r="H39" s="32"/>
      <c r="I39" s="32"/>
      <c r="J39" s="32"/>
      <c r="K39" s="32"/>
    </row>
    <row r="40" spans="1:11" ht="15" customHeight="1">
      <c r="A40" s="30"/>
      <c r="B40" s="32"/>
      <c r="C40" s="32"/>
      <c r="D40" s="32"/>
      <c r="E40" s="31"/>
      <c r="F40" s="32"/>
      <c r="G40" s="32"/>
      <c r="H40" s="32"/>
      <c r="I40" s="32"/>
      <c r="J40" s="32"/>
      <c r="K40" s="32"/>
    </row>
    <row r="41" spans="1:11" ht="15" customHeight="1">
      <c r="A41" s="30"/>
      <c r="B41" s="32"/>
      <c r="C41" s="32"/>
      <c r="D41" s="32"/>
      <c r="E41" s="31"/>
      <c r="F41" s="32"/>
      <c r="G41" s="32"/>
      <c r="H41" s="32"/>
      <c r="I41" s="32"/>
      <c r="J41" s="32"/>
      <c r="K41" s="32"/>
    </row>
    <row r="42" spans="1:11" ht="15" customHeight="1">
      <c r="A42" s="30"/>
      <c r="B42" s="32"/>
      <c r="C42" s="32"/>
      <c r="D42" s="32"/>
      <c r="E42" s="31"/>
      <c r="F42" s="32"/>
      <c r="G42" s="32"/>
      <c r="H42" s="32"/>
      <c r="I42" s="32"/>
      <c r="J42" s="32"/>
      <c r="K42" s="32"/>
    </row>
    <row r="43" spans="1:11" ht="15" customHeight="1">
      <c r="A43" s="30"/>
      <c r="B43" s="32"/>
      <c r="C43" s="32"/>
      <c r="D43" s="32"/>
      <c r="E43" s="31"/>
      <c r="F43" s="32"/>
      <c r="G43" s="32"/>
      <c r="H43" s="32"/>
      <c r="I43" s="32"/>
      <c r="J43" s="32"/>
      <c r="K43" s="32"/>
    </row>
    <row r="44" spans="1:11" ht="15" customHeight="1">
      <c r="A44" s="30"/>
      <c r="B44" s="32"/>
      <c r="C44" s="32"/>
      <c r="D44" s="32"/>
      <c r="E44" s="31"/>
      <c r="F44" s="32"/>
      <c r="G44" s="32"/>
      <c r="H44" s="32"/>
      <c r="I44" s="32"/>
      <c r="J44" s="32"/>
      <c r="K44" s="32"/>
    </row>
    <row r="45" spans="1:11" ht="15" customHeight="1">
      <c r="A45" s="30"/>
      <c r="B45" s="32"/>
      <c r="C45" s="32"/>
      <c r="D45" s="32"/>
      <c r="E45" s="31"/>
      <c r="F45" s="32"/>
      <c r="G45" s="32"/>
      <c r="H45" s="32"/>
      <c r="I45" s="32"/>
      <c r="J45" s="32"/>
      <c r="K45" s="32"/>
    </row>
    <row r="46" spans="1:11" ht="15" customHeight="1">
      <c r="A46" s="30"/>
      <c r="B46" s="32"/>
      <c r="C46" s="32"/>
      <c r="D46" s="32"/>
      <c r="E46" s="31"/>
      <c r="F46" s="32"/>
      <c r="G46" s="32"/>
      <c r="H46" s="32"/>
      <c r="I46" s="32"/>
      <c r="J46" s="32"/>
      <c r="K46" s="32"/>
    </row>
    <row r="47" spans="1:11" ht="15" customHeight="1">
      <c r="A47" s="30"/>
      <c r="B47" s="32"/>
      <c r="C47" s="32"/>
      <c r="D47" s="32"/>
      <c r="E47" s="31"/>
      <c r="F47" s="32"/>
      <c r="G47" s="32"/>
      <c r="H47" s="32"/>
      <c r="I47" s="32"/>
      <c r="J47" s="32"/>
      <c r="K47" s="32"/>
    </row>
    <row r="48" spans="1:11" ht="15" customHeight="1">
      <c r="A48" s="30"/>
      <c r="B48" s="32"/>
      <c r="C48" s="32"/>
      <c r="D48" s="32"/>
      <c r="E48" s="31"/>
      <c r="F48" s="32"/>
      <c r="G48" s="32"/>
      <c r="H48" s="32"/>
      <c r="I48" s="32"/>
      <c r="J48" s="32"/>
      <c r="K48" s="32"/>
    </row>
    <row r="49" spans="1:11" ht="15" customHeight="1">
      <c r="A49" s="30"/>
      <c r="B49" s="32"/>
      <c r="C49" s="32"/>
      <c r="D49" s="32"/>
      <c r="E49" s="31"/>
      <c r="F49" s="32"/>
      <c r="G49" s="32"/>
      <c r="H49" s="32"/>
      <c r="I49" s="32"/>
      <c r="J49" s="32"/>
      <c r="K49" s="32"/>
    </row>
    <row r="50" spans="1:11" ht="15" customHeight="1">
      <c r="A50" s="30"/>
      <c r="B50" s="32"/>
      <c r="C50" s="32"/>
      <c r="D50" s="32"/>
      <c r="E50" s="31"/>
      <c r="F50" s="32"/>
      <c r="G50" s="32"/>
      <c r="H50" s="32"/>
      <c r="I50" s="32"/>
      <c r="J50" s="32"/>
      <c r="K50" s="32"/>
    </row>
    <row r="51" spans="1:11" ht="15" customHeight="1">
      <c r="A51" s="30"/>
      <c r="B51" s="32"/>
      <c r="C51" s="32"/>
      <c r="D51" s="32"/>
      <c r="E51" s="31"/>
      <c r="F51" s="32"/>
      <c r="G51" s="32"/>
      <c r="H51" s="32"/>
      <c r="I51" s="32"/>
      <c r="J51" s="32"/>
      <c r="K51" s="32"/>
    </row>
    <row r="52" spans="1:11" ht="15" customHeight="1">
      <c r="A52" s="30"/>
      <c r="B52" s="32"/>
      <c r="C52" s="32"/>
      <c r="D52" s="32"/>
      <c r="E52" s="31"/>
      <c r="F52" s="32"/>
      <c r="G52" s="32"/>
      <c r="H52" s="32"/>
      <c r="I52" s="32"/>
      <c r="J52" s="32"/>
      <c r="K52" s="32"/>
    </row>
    <row r="53" spans="1:11" ht="15" customHeight="1">
      <c r="A53" s="30"/>
      <c r="B53" s="32"/>
      <c r="C53" s="32"/>
      <c r="D53" s="32"/>
      <c r="E53" s="31"/>
      <c r="F53" s="32"/>
      <c r="G53" s="32"/>
      <c r="H53" s="32"/>
      <c r="I53" s="32"/>
      <c r="J53" s="32"/>
      <c r="K53" s="32"/>
    </row>
    <row r="54" spans="1:11" ht="15" customHeight="1">
      <c r="A54" s="30"/>
      <c r="B54" s="32"/>
      <c r="C54" s="32"/>
      <c r="D54" s="32"/>
      <c r="E54" s="31"/>
      <c r="F54" s="32"/>
      <c r="G54" s="32"/>
      <c r="H54" s="32"/>
      <c r="I54" s="32"/>
      <c r="J54" s="32"/>
      <c r="K54" s="32"/>
    </row>
    <row r="55" spans="1:11" ht="15" customHeight="1">
      <c r="A55" s="30"/>
      <c r="B55" s="32"/>
      <c r="C55" s="32"/>
      <c r="D55" s="32"/>
      <c r="E55" s="31"/>
      <c r="F55" s="32"/>
      <c r="G55" s="32"/>
      <c r="H55" s="32"/>
      <c r="I55" s="32"/>
      <c r="J55" s="32"/>
      <c r="K55" s="32"/>
    </row>
    <row r="56" spans="1:11" ht="15" customHeight="1">
      <c r="A56" s="30"/>
      <c r="B56" s="32"/>
      <c r="C56" s="32"/>
      <c r="D56" s="32"/>
      <c r="E56" s="31"/>
      <c r="F56" s="32"/>
      <c r="G56" s="32"/>
      <c r="H56" s="32"/>
      <c r="I56" s="32"/>
      <c r="J56" s="32"/>
      <c r="K56" s="32"/>
    </row>
    <row r="57" spans="1:11" ht="15" customHeight="1">
      <c r="A57" s="30"/>
      <c r="B57" s="32"/>
      <c r="C57" s="32"/>
      <c r="D57" s="32"/>
      <c r="E57" s="31"/>
      <c r="F57" s="32"/>
      <c r="G57" s="32"/>
      <c r="H57" s="32"/>
      <c r="I57" s="32"/>
      <c r="J57" s="32"/>
      <c r="K57" s="32"/>
    </row>
    <row r="58" spans="1:11" ht="15" customHeight="1">
      <c r="A58" s="30"/>
      <c r="B58" s="32"/>
      <c r="C58" s="32"/>
      <c r="D58" s="32"/>
      <c r="E58" s="31"/>
      <c r="F58" s="32"/>
      <c r="G58" s="32"/>
      <c r="H58" s="32"/>
      <c r="I58" s="32"/>
      <c r="J58" s="32"/>
      <c r="K58" s="32"/>
    </row>
    <row r="59" spans="1:11" ht="15" customHeight="1">
      <c r="A59" s="30"/>
      <c r="B59" s="32"/>
      <c r="C59" s="32"/>
      <c r="D59" s="32"/>
      <c r="E59" s="31"/>
      <c r="F59" s="32"/>
      <c r="G59" s="32"/>
      <c r="H59" s="32"/>
      <c r="I59" s="32"/>
      <c r="J59" s="32"/>
      <c r="K59" s="32"/>
    </row>
    <row r="60" spans="1:11" ht="15" customHeight="1">
      <c r="A60" s="30"/>
      <c r="B60" s="32"/>
      <c r="C60" s="32"/>
      <c r="D60" s="32"/>
      <c r="E60" s="31"/>
      <c r="F60" s="32"/>
      <c r="G60" s="32"/>
      <c r="H60" s="32"/>
      <c r="I60" s="32"/>
      <c r="J60" s="32"/>
      <c r="K60" s="32"/>
    </row>
    <row r="61" spans="1:11" ht="15" customHeight="1">
      <c r="A61" s="30"/>
      <c r="B61" s="32"/>
      <c r="C61" s="32"/>
      <c r="D61" s="32"/>
      <c r="E61" s="31"/>
      <c r="F61" s="32"/>
      <c r="G61" s="32"/>
      <c r="H61" s="32"/>
      <c r="I61" s="32"/>
      <c r="J61" s="32"/>
      <c r="K61" s="32"/>
    </row>
    <row r="62" spans="1:11" ht="15" customHeight="1">
      <c r="A62" s="30"/>
      <c r="B62" s="32"/>
      <c r="C62" s="32"/>
      <c r="D62" s="32"/>
      <c r="E62" s="31"/>
      <c r="F62" s="32"/>
      <c r="G62" s="32"/>
      <c r="H62" s="32"/>
      <c r="I62" s="32"/>
      <c r="J62" s="32"/>
      <c r="K62" s="32"/>
    </row>
    <row r="63" spans="1:11" ht="15" customHeight="1">
      <c r="A63" s="30"/>
      <c r="B63" s="32"/>
      <c r="C63" s="32"/>
      <c r="D63" s="32"/>
      <c r="E63" s="31"/>
      <c r="F63" s="32"/>
      <c r="G63" s="32"/>
      <c r="H63" s="32"/>
      <c r="I63" s="32"/>
      <c r="J63" s="32"/>
      <c r="K63" s="32"/>
    </row>
    <row r="64" spans="1:11" ht="15" customHeight="1">
      <c r="A64" s="30"/>
      <c r="B64" s="32"/>
      <c r="C64" s="32"/>
      <c r="D64" s="32"/>
      <c r="E64" s="31"/>
      <c r="F64" s="32"/>
      <c r="G64" s="32"/>
      <c r="H64" s="32"/>
      <c r="I64" s="32"/>
      <c r="J64" s="32"/>
      <c r="K64" s="32"/>
    </row>
    <row r="65" spans="1:11" ht="15" customHeight="1">
      <c r="A65" s="30"/>
      <c r="B65" s="32"/>
      <c r="C65" s="32"/>
      <c r="D65" s="32"/>
      <c r="E65" s="31"/>
      <c r="F65" s="32"/>
      <c r="G65" s="32"/>
      <c r="H65" s="32"/>
      <c r="I65" s="32"/>
      <c r="J65" s="32"/>
      <c r="K65" s="32"/>
    </row>
    <row r="66" spans="1:11" ht="15" customHeight="1">
      <c r="A66" s="30"/>
      <c r="B66" s="32"/>
      <c r="C66" s="32"/>
      <c r="D66" s="32"/>
      <c r="E66" s="31"/>
      <c r="F66" s="32"/>
      <c r="G66" s="32"/>
      <c r="H66" s="32"/>
      <c r="I66" s="32"/>
      <c r="J66" s="32"/>
      <c r="K66" s="32"/>
    </row>
    <row r="67" spans="1:11" ht="15" customHeight="1">
      <c r="A67" s="30"/>
      <c r="B67" s="32"/>
      <c r="C67" s="32"/>
      <c r="D67" s="32"/>
      <c r="E67" s="31"/>
      <c r="F67" s="32"/>
      <c r="G67" s="32"/>
      <c r="H67" s="32"/>
      <c r="I67" s="32"/>
      <c r="J67" s="32"/>
      <c r="K67" s="32"/>
    </row>
    <row r="68" spans="1:11" ht="15" customHeight="1">
      <c r="A68" s="30"/>
      <c r="B68" s="32"/>
      <c r="C68" s="32"/>
      <c r="D68" s="32"/>
      <c r="E68" s="31"/>
      <c r="F68" s="32"/>
      <c r="G68" s="32"/>
      <c r="H68" s="32"/>
      <c r="I68" s="32"/>
      <c r="J68" s="32"/>
      <c r="K68" s="32"/>
    </row>
    <row r="69" spans="1:11" ht="15" customHeight="1">
      <c r="A69" s="30"/>
      <c r="B69" s="32"/>
      <c r="C69" s="32"/>
      <c r="D69" s="32"/>
      <c r="E69" s="31"/>
      <c r="F69" s="32"/>
      <c r="G69" s="32"/>
      <c r="H69" s="32"/>
      <c r="I69" s="32"/>
      <c r="J69" s="32"/>
      <c r="K69" s="32"/>
    </row>
    <row r="70" spans="1:11" ht="15" customHeight="1">
      <c r="A70" s="30"/>
      <c r="B70" s="32"/>
      <c r="C70" s="32"/>
      <c r="D70" s="32"/>
      <c r="E70" s="31"/>
      <c r="F70" s="32"/>
      <c r="G70" s="32"/>
      <c r="H70" s="32"/>
      <c r="I70" s="32"/>
      <c r="J70" s="32"/>
      <c r="K70" s="32"/>
    </row>
    <row r="71" spans="1:11" ht="15" customHeight="1">
      <c r="A71" s="30"/>
      <c r="B71" s="32"/>
      <c r="C71" s="32"/>
      <c r="D71" s="32"/>
      <c r="E71" s="31"/>
      <c r="F71" s="32"/>
      <c r="G71" s="32"/>
      <c r="H71" s="32"/>
      <c r="I71" s="32"/>
      <c r="J71" s="32"/>
      <c r="K71" s="32"/>
    </row>
    <row r="72" spans="1:11" ht="15" customHeight="1">
      <c r="A72" s="30"/>
      <c r="B72" s="32"/>
      <c r="C72" s="32"/>
      <c r="D72" s="32"/>
      <c r="E72" s="31"/>
      <c r="F72" s="32"/>
      <c r="G72" s="32"/>
      <c r="H72" s="32"/>
      <c r="I72" s="32"/>
      <c r="J72" s="32"/>
      <c r="K72" s="32"/>
    </row>
    <row r="73" spans="1:11" ht="15" customHeight="1">
      <c r="A73" s="30"/>
      <c r="B73" s="32"/>
      <c r="C73" s="32"/>
      <c r="D73" s="32"/>
      <c r="E73" s="31"/>
      <c r="F73" s="32"/>
      <c r="G73" s="32"/>
      <c r="H73" s="32"/>
      <c r="I73" s="32"/>
      <c r="J73" s="32"/>
      <c r="K73" s="32"/>
    </row>
    <row r="74" spans="1:11" ht="15" customHeight="1">
      <c r="A74" s="30"/>
      <c r="B74" s="32"/>
      <c r="C74" s="32"/>
      <c r="D74" s="32"/>
      <c r="E74" s="31"/>
      <c r="F74" s="32"/>
      <c r="G74" s="32"/>
      <c r="H74" s="32"/>
      <c r="I74" s="32"/>
      <c r="J74" s="32"/>
      <c r="K74" s="32"/>
    </row>
    <row r="75" spans="1:11" ht="15" customHeight="1">
      <c r="A75" s="30"/>
      <c r="B75" s="32"/>
      <c r="C75" s="32"/>
      <c r="D75" s="32"/>
      <c r="E75" s="31"/>
      <c r="F75" s="32"/>
      <c r="G75" s="32"/>
      <c r="H75" s="32"/>
      <c r="I75" s="32"/>
      <c r="J75" s="32"/>
      <c r="K75" s="32"/>
    </row>
    <row r="76" spans="1:11" ht="15" customHeight="1">
      <c r="A76" s="30"/>
      <c r="B76" s="32"/>
      <c r="C76" s="32"/>
      <c r="D76" s="32"/>
      <c r="E76" s="31"/>
      <c r="F76" s="32"/>
      <c r="G76" s="32"/>
      <c r="H76" s="32"/>
      <c r="I76" s="32"/>
      <c r="J76" s="32"/>
      <c r="K76" s="32"/>
    </row>
    <row r="77" spans="1:11" ht="15" customHeight="1">
      <c r="A77" s="30"/>
      <c r="B77" s="32"/>
      <c r="C77" s="32"/>
      <c r="D77" s="32"/>
      <c r="E77" s="31"/>
      <c r="F77" s="32"/>
      <c r="G77" s="32"/>
      <c r="H77" s="32"/>
      <c r="I77" s="32"/>
      <c r="J77" s="32"/>
      <c r="K77" s="32"/>
    </row>
    <row r="78" spans="1:11" ht="15" customHeight="1">
      <c r="A78" s="30"/>
      <c r="B78" s="32"/>
      <c r="C78" s="32"/>
      <c r="D78" s="32"/>
      <c r="E78" s="31"/>
      <c r="F78" s="32"/>
      <c r="G78" s="32"/>
      <c r="H78" s="32"/>
      <c r="I78" s="32"/>
      <c r="J78" s="32"/>
      <c r="K78" s="32"/>
    </row>
    <row r="79" spans="1:11" ht="15" customHeight="1">
      <c r="A79" s="30"/>
      <c r="B79" s="32"/>
      <c r="C79" s="32"/>
      <c r="D79" s="32"/>
      <c r="E79" s="31"/>
      <c r="F79" s="32"/>
      <c r="G79" s="32"/>
      <c r="H79" s="32"/>
      <c r="I79" s="32"/>
      <c r="J79" s="32"/>
      <c r="K79" s="32"/>
    </row>
    <row r="80" spans="1:11" ht="15" customHeight="1">
      <c r="A80" s="30"/>
      <c r="B80" s="32"/>
      <c r="C80" s="32"/>
      <c r="D80" s="32"/>
      <c r="E80" s="31"/>
      <c r="F80" s="32"/>
      <c r="G80" s="32"/>
      <c r="H80" s="32"/>
      <c r="I80" s="32"/>
      <c r="J80" s="32"/>
      <c r="K80" s="32"/>
    </row>
    <row r="81" spans="1:11" ht="15" customHeight="1">
      <c r="A81" s="30"/>
      <c r="B81" s="32"/>
      <c r="C81" s="32"/>
      <c r="D81" s="32"/>
      <c r="E81" s="31"/>
      <c r="F81" s="32"/>
      <c r="G81" s="32"/>
      <c r="H81" s="32"/>
      <c r="I81" s="32"/>
      <c r="J81" s="32"/>
      <c r="K81" s="32"/>
    </row>
    <row r="82" spans="1:11" ht="15" customHeight="1">
      <c r="A82" s="30"/>
      <c r="B82" s="32"/>
      <c r="C82" s="32"/>
      <c r="D82" s="32"/>
      <c r="E82" s="31"/>
      <c r="F82" s="32"/>
      <c r="G82" s="32"/>
      <c r="H82" s="32"/>
      <c r="I82" s="32"/>
      <c r="J82" s="32"/>
      <c r="K82" s="32"/>
    </row>
    <row r="83" spans="1:11" ht="15" customHeight="1">
      <c r="A83" s="30"/>
      <c r="B83" s="32"/>
      <c r="C83" s="32"/>
      <c r="D83" s="32"/>
      <c r="E83" s="31"/>
      <c r="F83" s="32"/>
      <c r="G83" s="32"/>
      <c r="H83" s="32"/>
      <c r="I83" s="32"/>
      <c r="J83" s="32"/>
      <c r="K83" s="32"/>
    </row>
    <row r="84" spans="1:11" ht="15" customHeight="1">
      <c r="A84" s="30"/>
      <c r="B84" s="32"/>
      <c r="C84" s="32"/>
      <c r="D84" s="32"/>
      <c r="E84" s="31"/>
      <c r="F84" s="32"/>
      <c r="G84" s="32"/>
      <c r="H84" s="32"/>
      <c r="I84" s="32"/>
      <c r="J84" s="32"/>
      <c r="K84" s="32"/>
    </row>
    <row r="85" spans="1:11" ht="15" customHeight="1">
      <c r="A85" s="30"/>
      <c r="B85" s="32"/>
      <c r="C85" s="32"/>
      <c r="D85" s="32"/>
      <c r="E85" s="31"/>
      <c r="F85" s="32"/>
      <c r="G85" s="32"/>
      <c r="H85" s="32"/>
      <c r="I85" s="32"/>
      <c r="J85" s="32"/>
      <c r="K85" s="32"/>
    </row>
    <row r="86" spans="1:11" ht="15" customHeight="1">
      <c r="A86" s="30"/>
      <c r="B86" s="32"/>
      <c r="C86" s="32"/>
      <c r="D86" s="32"/>
      <c r="E86" s="31"/>
      <c r="F86" s="32"/>
      <c r="G86" s="32"/>
      <c r="H86" s="32"/>
      <c r="I86" s="32"/>
      <c r="J86" s="32"/>
      <c r="K86" s="32"/>
    </row>
    <row r="87" spans="1:11" ht="15" customHeight="1">
      <c r="A87" s="30"/>
      <c r="B87" s="32"/>
      <c r="C87" s="32"/>
      <c r="D87" s="32"/>
      <c r="E87" s="31"/>
      <c r="F87" s="32"/>
      <c r="G87" s="32"/>
      <c r="H87" s="32"/>
      <c r="I87" s="32"/>
      <c r="J87" s="32"/>
      <c r="K87" s="32"/>
    </row>
    <row r="88" spans="1:11" ht="15" customHeight="1">
      <c r="A88" s="30"/>
      <c r="B88" s="32"/>
      <c r="C88" s="32"/>
      <c r="D88" s="32"/>
      <c r="E88" s="31"/>
      <c r="F88" s="32"/>
      <c r="G88" s="32"/>
      <c r="H88" s="32"/>
      <c r="I88" s="32"/>
      <c r="J88" s="32"/>
      <c r="K88" s="32"/>
    </row>
    <row r="89" spans="1:11" ht="15" customHeight="1">
      <c r="A89" s="30"/>
      <c r="B89" s="32"/>
      <c r="C89" s="32"/>
      <c r="D89" s="32"/>
      <c r="E89" s="31"/>
      <c r="F89" s="32"/>
      <c r="G89" s="32"/>
      <c r="H89" s="32"/>
      <c r="I89" s="32"/>
      <c r="J89" s="32"/>
      <c r="K89" s="32"/>
    </row>
    <row r="90" spans="1:11" ht="15" customHeight="1">
      <c r="A90" s="30"/>
      <c r="B90" s="32"/>
      <c r="C90" s="32"/>
      <c r="D90" s="32"/>
      <c r="E90" s="31"/>
      <c r="F90" s="32"/>
      <c r="G90" s="32"/>
      <c r="H90" s="32"/>
      <c r="I90" s="32"/>
      <c r="J90" s="32"/>
      <c r="K90" s="32"/>
    </row>
    <row r="91" spans="1:11" ht="15" customHeight="1">
      <c r="A91" s="30"/>
      <c r="B91" s="32"/>
      <c r="C91" s="32"/>
      <c r="D91" s="32"/>
      <c r="E91" s="31"/>
      <c r="F91" s="32"/>
      <c r="G91" s="32"/>
      <c r="H91" s="32"/>
      <c r="I91" s="32"/>
      <c r="J91" s="32"/>
      <c r="K91" s="32"/>
    </row>
    <row r="92" spans="1:11" ht="15" customHeight="1">
      <c r="A92" s="30"/>
      <c r="B92" s="32"/>
      <c r="C92" s="32"/>
      <c r="D92" s="32"/>
      <c r="E92" s="31"/>
      <c r="F92" s="32"/>
      <c r="G92" s="32"/>
      <c r="H92" s="32"/>
      <c r="I92" s="32"/>
      <c r="J92" s="32"/>
      <c r="K92" s="32"/>
    </row>
    <row r="93" spans="1:11" ht="15" customHeight="1">
      <c r="A93" s="30"/>
      <c r="B93" s="32"/>
      <c r="C93" s="32"/>
      <c r="D93" s="32"/>
      <c r="E93" s="31"/>
      <c r="F93" s="32"/>
      <c r="G93" s="32"/>
      <c r="H93" s="32"/>
      <c r="I93" s="32"/>
      <c r="J93" s="32"/>
      <c r="K93" s="32"/>
    </row>
    <row r="94" spans="1:11" ht="15" customHeight="1">
      <c r="A94" s="30"/>
      <c r="B94" s="32"/>
      <c r="C94" s="32"/>
      <c r="D94" s="32"/>
      <c r="E94" s="31"/>
      <c r="F94" s="32"/>
      <c r="G94" s="32"/>
      <c r="H94" s="32"/>
      <c r="I94" s="32"/>
      <c r="J94" s="32"/>
      <c r="K94" s="32"/>
    </row>
    <row r="95" spans="1:11" ht="15" customHeight="1">
      <c r="A95" s="30"/>
      <c r="B95" s="32"/>
      <c r="C95" s="32"/>
      <c r="D95" s="32"/>
      <c r="E95" s="31"/>
      <c r="F95" s="32"/>
      <c r="G95" s="32"/>
      <c r="H95" s="32"/>
      <c r="I95" s="32"/>
      <c r="J95" s="32"/>
      <c r="K95" s="32"/>
    </row>
    <row r="96" spans="1:11" ht="15" customHeight="1">
      <c r="A96" s="30"/>
      <c r="B96" s="32"/>
      <c r="C96" s="32"/>
      <c r="D96" s="32"/>
      <c r="E96" s="31"/>
      <c r="F96" s="32"/>
      <c r="G96" s="32"/>
      <c r="H96" s="32"/>
      <c r="I96" s="32"/>
      <c r="J96" s="32"/>
      <c r="K96" s="32"/>
    </row>
    <row r="97" spans="1:11" ht="15" customHeight="1">
      <c r="A97" s="30"/>
      <c r="B97" s="32"/>
      <c r="C97" s="32"/>
      <c r="D97" s="32"/>
      <c r="E97" s="31"/>
      <c r="F97" s="32"/>
      <c r="G97" s="32"/>
      <c r="H97" s="32"/>
      <c r="I97" s="32"/>
      <c r="J97" s="32"/>
      <c r="K97" s="32"/>
    </row>
    <row r="98" spans="1:11" ht="15" customHeight="1">
      <c r="A98" s="30"/>
      <c r="B98" s="32"/>
      <c r="C98" s="32"/>
      <c r="D98" s="32"/>
      <c r="E98" s="31"/>
      <c r="F98" s="32"/>
      <c r="G98" s="32"/>
      <c r="H98" s="32"/>
      <c r="I98" s="32"/>
      <c r="J98" s="32"/>
      <c r="K98" s="32"/>
    </row>
    <row r="99" spans="1:11" ht="15" customHeight="1">
      <c r="A99" s="30"/>
      <c r="B99" s="32"/>
      <c r="C99" s="32"/>
      <c r="D99" s="32"/>
      <c r="E99" s="31"/>
      <c r="F99" s="32"/>
      <c r="G99" s="32"/>
      <c r="H99" s="32"/>
      <c r="I99" s="32"/>
      <c r="J99" s="32"/>
      <c r="K99" s="32"/>
    </row>
    <row r="100" spans="1:11" ht="15" customHeight="1">
      <c r="A100" s="30"/>
      <c r="B100" s="32"/>
      <c r="C100" s="32"/>
      <c r="D100" s="32"/>
      <c r="E100" s="31"/>
      <c r="F100" s="32"/>
      <c r="G100" s="32"/>
      <c r="H100" s="32"/>
      <c r="I100" s="32"/>
      <c r="J100" s="32"/>
      <c r="K100" s="32"/>
    </row>
    <row r="101" spans="1:11" ht="15" customHeight="1">
      <c r="A101" s="30"/>
      <c r="B101" s="32"/>
      <c r="C101" s="32"/>
      <c r="D101" s="32"/>
      <c r="E101" s="31"/>
      <c r="F101" s="32"/>
      <c r="G101" s="32"/>
      <c r="H101" s="32"/>
      <c r="I101" s="32"/>
      <c r="J101" s="32"/>
      <c r="K101" s="32"/>
    </row>
    <row r="102" spans="1:11" ht="15" customHeight="1">
      <c r="A102" s="30"/>
      <c r="B102" s="32"/>
      <c r="C102" s="32"/>
      <c r="D102" s="32"/>
      <c r="E102" s="31"/>
      <c r="F102" s="32"/>
      <c r="G102" s="32"/>
      <c r="H102" s="32"/>
      <c r="I102" s="32"/>
      <c r="J102" s="32"/>
      <c r="K102" s="32"/>
    </row>
    <row r="103" spans="1:11" ht="15" customHeight="1">
      <c r="A103" s="30"/>
      <c r="B103" s="32"/>
      <c r="C103" s="32"/>
      <c r="D103" s="32"/>
      <c r="E103" s="31"/>
      <c r="F103" s="32"/>
      <c r="G103" s="32"/>
      <c r="H103" s="32"/>
      <c r="I103" s="32"/>
      <c r="J103" s="32"/>
      <c r="K103" s="32"/>
    </row>
    <row r="104" spans="1:11" ht="15" customHeight="1">
      <c r="A104" s="30"/>
      <c r="B104" s="32"/>
      <c r="C104" s="32"/>
      <c r="D104" s="32"/>
      <c r="E104" s="31"/>
      <c r="F104" s="32"/>
      <c r="G104" s="32"/>
      <c r="H104" s="32"/>
      <c r="I104" s="32"/>
      <c r="J104" s="32"/>
      <c r="K104" s="32"/>
    </row>
    <row r="105" spans="1:11" ht="15" customHeight="1">
      <c r="A105" s="30"/>
      <c r="B105" s="32"/>
      <c r="C105" s="32"/>
      <c r="D105" s="32"/>
      <c r="E105" s="31"/>
      <c r="F105" s="32"/>
      <c r="G105" s="32"/>
      <c r="H105" s="32"/>
      <c r="I105" s="32"/>
      <c r="J105" s="32"/>
      <c r="K105" s="32"/>
    </row>
    <row r="106" spans="1:11" ht="15" customHeight="1">
      <c r="A106" s="30"/>
      <c r="B106" s="32"/>
      <c r="C106" s="32"/>
      <c r="D106" s="32"/>
      <c r="E106" s="31"/>
      <c r="F106" s="32"/>
      <c r="G106" s="32"/>
      <c r="H106" s="32"/>
      <c r="I106" s="32"/>
      <c r="J106" s="32"/>
      <c r="K106" s="32"/>
    </row>
    <row r="107" spans="1:11" ht="15" customHeight="1">
      <c r="A107" s="30"/>
      <c r="B107" s="32"/>
      <c r="C107" s="32"/>
      <c r="D107" s="32"/>
      <c r="E107" s="31"/>
      <c r="F107" s="32"/>
      <c r="G107" s="32"/>
      <c r="H107" s="32"/>
      <c r="I107" s="32"/>
      <c r="J107" s="32"/>
      <c r="K107" s="32"/>
    </row>
    <row r="108" spans="1:11" ht="15" customHeight="1">
      <c r="A108" s="30"/>
      <c r="B108" s="32"/>
      <c r="C108" s="32"/>
      <c r="D108" s="32"/>
      <c r="E108" s="31"/>
      <c r="F108" s="32"/>
      <c r="G108" s="32"/>
      <c r="H108" s="32"/>
      <c r="I108" s="32"/>
      <c r="J108" s="32"/>
      <c r="K108" s="32"/>
    </row>
    <row r="109" spans="1:11" ht="15" customHeight="1">
      <c r="A109" s="30"/>
      <c r="B109" s="32"/>
      <c r="C109" s="32"/>
      <c r="D109" s="32"/>
      <c r="E109" s="31"/>
      <c r="F109" s="32"/>
      <c r="G109" s="32"/>
      <c r="H109" s="32"/>
      <c r="I109" s="32"/>
      <c r="J109" s="32"/>
      <c r="K109" s="32"/>
    </row>
    <row r="110" spans="1:11" ht="15" customHeight="1">
      <c r="A110" s="30"/>
      <c r="B110" s="32"/>
      <c r="C110" s="32"/>
      <c r="D110" s="32"/>
      <c r="E110" s="31"/>
      <c r="F110" s="32"/>
      <c r="G110" s="32"/>
      <c r="H110" s="32"/>
      <c r="I110" s="32"/>
      <c r="J110" s="32"/>
      <c r="K110" s="32"/>
    </row>
    <row r="111" spans="1:11" ht="15" customHeight="1">
      <c r="A111" s="30"/>
      <c r="B111" s="32"/>
      <c r="C111" s="32"/>
      <c r="D111" s="32"/>
      <c r="E111" s="31"/>
      <c r="F111" s="32"/>
      <c r="G111" s="32"/>
      <c r="H111" s="32"/>
      <c r="I111" s="32"/>
      <c r="J111" s="32"/>
      <c r="K111" s="32"/>
    </row>
    <row r="112" spans="1:11" ht="15" customHeight="1">
      <c r="A112" s="30"/>
      <c r="B112" s="32"/>
      <c r="C112" s="32"/>
      <c r="D112" s="32"/>
      <c r="E112" s="31"/>
      <c r="F112" s="32"/>
      <c r="G112" s="32"/>
      <c r="H112" s="32"/>
      <c r="I112" s="32"/>
      <c r="J112" s="32"/>
      <c r="K112" s="32"/>
    </row>
    <row r="113" spans="1:11" ht="15" customHeight="1">
      <c r="A113" s="30"/>
      <c r="B113" s="32"/>
      <c r="C113" s="32"/>
      <c r="D113" s="32"/>
      <c r="E113" s="31"/>
      <c r="F113" s="32"/>
      <c r="G113" s="32"/>
      <c r="H113" s="32"/>
      <c r="I113" s="32"/>
      <c r="J113" s="32"/>
      <c r="K113" s="32"/>
    </row>
    <row r="114" spans="1:11" ht="15" customHeight="1">
      <c r="A114" s="30"/>
      <c r="B114" s="32"/>
      <c r="C114" s="32"/>
      <c r="D114" s="32"/>
      <c r="E114" s="31"/>
      <c r="F114" s="32"/>
      <c r="G114" s="32"/>
      <c r="H114" s="32"/>
      <c r="I114" s="32"/>
      <c r="J114" s="32"/>
      <c r="K114" s="32"/>
    </row>
    <row r="115" spans="1:11" ht="15" customHeight="1">
      <c r="A115" s="30"/>
      <c r="B115" s="32"/>
      <c r="C115" s="32"/>
      <c r="D115" s="32"/>
      <c r="E115" s="31"/>
      <c r="F115" s="32"/>
      <c r="G115" s="32"/>
      <c r="H115" s="32"/>
      <c r="I115" s="32"/>
      <c r="J115" s="32"/>
      <c r="K115" s="32"/>
    </row>
    <row r="116" spans="1:11" ht="15" customHeight="1">
      <c r="A116" s="30"/>
      <c r="B116" s="32"/>
      <c r="C116" s="32"/>
      <c r="D116" s="32"/>
      <c r="E116" s="31"/>
      <c r="F116" s="32"/>
      <c r="G116" s="32"/>
      <c r="H116" s="32"/>
      <c r="I116" s="32"/>
      <c r="J116" s="32"/>
      <c r="K116" s="32"/>
    </row>
    <row r="117" spans="1:11" ht="15" customHeight="1">
      <c r="A117" s="30"/>
      <c r="B117" s="32"/>
      <c r="C117" s="32"/>
      <c r="D117" s="32"/>
      <c r="E117" s="31"/>
      <c r="F117" s="32"/>
      <c r="G117" s="32"/>
      <c r="H117" s="32"/>
      <c r="I117" s="32"/>
      <c r="J117" s="32"/>
      <c r="K117" s="32"/>
    </row>
    <row r="118" spans="1:11" ht="15" customHeight="1">
      <c r="A118" s="30"/>
      <c r="B118" s="32"/>
      <c r="C118" s="32"/>
      <c r="D118" s="32"/>
      <c r="E118" s="31"/>
      <c r="F118" s="32"/>
      <c r="G118" s="32"/>
      <c r="H118" s="32"/>
      <c r="I118" s="32"/>
      <c r="J118" s="32"/>
      <c r="K118" s="32"/>
    </row>
    <row r="119" spans="1:11" ht="15" customHeight="1">
      <c r="A119" s="30"/>
      <c r="B119" s="32"/>
      <c r="C119" s="32"/>
      <c r="D119" s="32"/>
      <c r="E119" s="31"/>
      <c r="F119" s="32"/>
      <c r="G119" s="32"/>
      <c r="H119" s="32"/>
      <c r="I119" s="32"/>
      <c r="J119" s="32"/>
      <c r="K119" s="32"/>
    </row>
    <row r="120" spans="1:11" ht="15" customHeight="1">
      <c r="A120" s="30"/>
      <c r="B120" s="32"/>
      <c r="C120" s="32"/>
      <c r="D120" s="32"/>
      <c r="E120" s="31"/>
      <c r="F120" s="32"/>
      <c r="G120" s="32"/>
      <c r="H120" s="32"/>
      <c r="I120" s="32"/>
      <c r="J120" s="32"/>
      <c r="K120" s="32"/>
    </row>
    <row r="121" spans="1:11" ht="15" customHeight="1">
      <c r="A121" s="30"/>
      <c r="B121" s="32"/>
      <c r="C121" s="32"/>
      <c r="D121" s="32"/>
      <c r="E121" s="31"/>
      <c r="F121" s="32"/>
      <c r="G121" s="32"/>
      <c r="H121" s="32"/>
      <c r="I121" s="32"/>
      <c r="J121" s="32"/>
      <c r="K121" s="32"/>
    </row>
    <row r="122" spans="1:11" ht="15" customHeight="1">
      <c r="A122" s="30"/>
      <c r="B122" s="32"/>
      <c r="C122" s="32"/>
      <c r="D122" s="32"/>
      <c r="E122" s="31"/>
      <c r="F122" s="32"/>
      <c r="G122" s="32"/>
      <c r="H122" s="32"/>
      <c r="I122" s="32"/>
      <c r="J122" s="32"/>
      <c r="K122" s="32"/>
    </row>
    <row r="123" spans="1:11" ht="15" customHeight="1">
      <c r="A123" s="30"/>
      <c r="B123" s="32"/>
      <c r="C123" s="32"/>
      <c r="D123" s="32"/>
      <c r="E123" s="31"/>
      <c r="F123" s="32"/>
      <c r="G123" s="32"/>
      <c r="H123" s="32"/>
      <c r="I123" s="32"/>
      <c r="J123" s="32"/>
      <c r="K123" s="32"/>
    </row>
    <row r="124" spans="1:11" ht="15" customHeight="1">
      <c r="A124" s="30"/>
      <c r="B124" s="32"/>
      <c r="C124" s="32"/>
      <c r="D124" s="32"/>
      <c r="E124" s="31"/>
      <c r="F124" s="32"/>
      <c r="G124" s="32"/>
      <c r="H124" s="32"/>
      <c r="I124" s="32"/>
      <c r="J124" s="32"/>
      <c r="K124" s="32"/>
    </row>
    <row r="125" spans="1:11" ht="15" customHeight="1">
      <c r="A125" s="30"/>
      <c r="B125" s="32"/>
      <c r="C125" s="32"/>
      <c r="D125" s="32"/>
      <c r="E125" s="31"/>
      <c r="F125" s="32"/>
      <c r="G125" s="32"/>
      <c r="H125" s="32"/>
      <c r="I125" s="32"/>
      <c r="J125" s="32"/>
      <c r="K125" s="32"/>
    </row>
    <row r="126" spans="1:11" ht="15" customHeight="1">
      <c r="A126" s="30"/>
      <c r="B126" s="32"/>
      <c r="C126" s="32"/>
      <c r="D126" s="32"/>
      <c r="E126" s="31"/>
      <c r="F126" s="32"/>
      <c r="G126" s="32"/>
      <c r="H126" s="32"/>
      <c r="I126" s="32"/>
      <c r="J126" s="32"/>
      <c r="K126" s="32"/>
    </row>
    <row r="127" spans="1:11" ht="15" customHeight="1">
      <c r="A127" s="30"/>
      <c r="B127" s="32"/>
      <c r="C127" s="32"/>
      <c r="D127" s="32"/>
      <c r="E127" s="31"/>
      <c r="F127" s="32"/>
      <c r="G127" s="32"/>
      <c r="H127" s="32"/>
      <c r="I127" s="32"/>
      <c r="J127" s="32"/>
      <c r="K127" s="32"/>
    </row>
    <row r="128" spans="1:11" ht="15" customHeight="1">
      <c r="A128" s="30"/>
      <c r="B128" s="32"/>
      <c r="C128" s="32"/>
      <c r="D128" s="32"/>
      <c r="E128" s="31"/>
      <c r="F128" s="32"/>
      <c r="G128" s="32"/>
      <c r="H128" s="32"/>
      <c r="I128" s="32"/>
      <c r="J128" s="32"/>
      <c r="K128" s="32"/>
    </row>
    <row r="129" spans="1:11" ht="15" customHeight="1">
      <c r="A129" s="30"/>
      <c r="B129" s="32"/>
      <c r="C129" s="32"/>
      <c r="D129" s="32"/>
      <c r="E129" s="31"/>
      <c r="F129" s="32"/>
      <c r="G129" s="32"/>
      <c r="H129" s="32"/>
      <c r="I129" s="32"/>
      <c r="J129" s="32"/>
      <c r="K129" s="32"/>
    </row>
    <row r="130" spans="1:11" ht="15" customHeight="1">
      <c r="A130" s="30"/>
      <c r="B130" s="32"/>
      <c r="C130" s="32"/>
      <c r="D130" s="32"/>
      <c r="E130" s="31"/>
      <c r="F130" s="32"/>
      <c r="G130" s="32"/>
      <c r="H130" s="32"/>
      <c r="I130" s="32"/>
      <c r="J130" s="32"/>
      <c r="K130" s="32"/>
    </row>
    <row r="131" spans="1:11" ht="15" customHeight="1">
      <c r="A131" s="30"/>
      <c r="B131" s="32"/>
      <c r="C131" s="32"/>
      <c r="D131" s="32"/>
      <c r="E131" s="31"/>
      <c r="F131" s="32"/>
      <c r="G131" s="32"/>
      <c r="H131" s="32"/>
      <c r="I131" s="32"/>
      <c r="J131" s="32"/>
      <c r="K131" s="32"/>
    </row>
    <row r="132" spans="1:11" ht="15" customHeight="1">
      <c r="A132" s="30"/>
      <c r="B132" s="32"/>
      <c r="C132" s="32"/>
      <c r="D132" s="32"/>
      <c r="E132" s="31"/>
      <c r="F132" s="32"/>
      <c r="G132" s="32"/>
      <c r="H132" s="32"/>
      <c r="I132" s="32"/>
      <c r="J132" s="32"/>
      <c r="K132" s="32"/>
    </row>
    <row r="133" spans="1:11" ht="15" customHeight="1">
      <c r="A133" s="30"/>
      <c r="B133" s="32"/>
      <c r="C133" s="32"/>
      <c r="D133" s="32"/>
      <c r="E133" s="31"/>
      <c r="F133" s="32"/>
      <c r="G133" s="32"/>
      <c r="H133" s="32"/>
      <c r="I133" s="32"/>
      <c r="J133" s="32"/>
      <c r="K133" s="32"/>
    </row>
    <row r="134" spans="1:11" ht="15" customHeight="1">
      <c r="A134" s="30"/>
      <c r="B134" s="32"/>
      <c r="C134" s="32"/>
      <c r="D134" s="32"/>
      <c r="E134" s="31"/>
      <c r="F134" s="32"/>
      <c r="G134" s="32"/>
      <c r="H134" s="32"/>
      <c r="I134" s="32"/>
      <c r="J134" s="32"/>
      <c r="K134" s="32"/>
    </row>
    <row r="135" spans="1:11" ht="15" customHeight="1">
      <c r="A135" s="30"/>
      <c r="B135" s="32"/>
      <c r="C135" s="32"/>
      <c r="D135" s="32"/>
      <c r="E135" s="31"/>
      <c r="F135" s="32"/>
      <c r="G135" s="32"/>
      <c r="H135" s="32"/>
      <c r="I135" s="32"/>
      <c r="J135" s="32"/>
      <c r="K135" s="32"/>
    </row>
    <row r="136" spans="1:11" ht="15" customHeight="1">
      <c r="A136" s="30"/>
      <c r="B136" s="32"/>
      <c r="C136" s="32"/>
      <c r="D136" s="32"/>
      <c r="E136" s="31"/>
      <c r="F136" s="32"/>
      <c r="G136" s="32"/>
      <c r="H136" s="32"/>
      <c r="I136" s="32"/>
      <c r="J136" s="32"/>
      <c r="K136" s="32"/>
    </row>
    <row r="137" spans="1:11" ht="15" customHeight="1">
      <c r="A137" s="30"/>
      <c r="B137" s="32"/>
      <c r="C137" s="32"/>
      <c r="D137" s="32"/>
      <c r="E137" s="31"/>
      <c r="F137" s="32"/>
      <c r="G137" s="32"/>
      <c r="H137" s="32"/>
      <c r="I137" s="32"/>
      <c r="J137" s="32"/>
      <c r="K137" s="32"/>
    </row>
    <row r="138" spans="1:11" ht="15" customHeight="1">
      <c r="A138" s="30"/>
      <c r="B138" s="32"/>
      <c r="C138" s="32"/>
      <c r="D138" s="32"/>
      <c r="E138" s="31"/>
      <c r="F138" s="32"/>
      <c r="G138" s="32"/>
      <c r="H138" s="32"/>
      <c r="I138" s="32"/>
      <c r="J138" s="32"/>
      <c r="K138" s="32"/>
    </row>
    <row r="139" spans="1:11" ht="15" customHeight="1">
      <c r="A139" s="30"/>
      <c r="B139" s="32"/>
      <c r="C139" s="32"/>
      <c r="D139" s="32"/>
      <c r="E139" s="31"/>
      <c r="F139" s="32"/>
      <c r="G139" s="32"/>
      <c r="H139" s="32"/>
      <c r="I139" s="32"/>
      <c r="J139" s="32"/>
      <c r="K139" s="32"/>
    </row>
    <row r="140" spans="1:11" ht="15" customHeight="1">
      <c r="A140" s="30"/>
      <c r="B140" s="32"/>
      <c r="C140" s="32"/>
      <c r="D140" s="32"/>
      <c r="E140" s="31"/>
      <c r="F140" s="32"/>
      <c r="G140" s="32"/>
      <c r="H140" s="32"/>
      <c r="I140" s="32"/>
      <c r="J140" s="32"/>
      <c r="K140" s="32"/>
    </row>
    <row r="141" spans="1:11" ht="15" customHeight="1">
      <c r="A141" s="30"/>
      <c r="B141" s="32"/>
      <c r="C141" s="32"/>
      <c r="D141" s="32"/>
      <c r="E141" s="31"/>
      <c r="F141" s="32"/>
      <c r="G141" s="32"/>
      <c r="H141" s="32"/>
      <c r="I141" s="32"/>
      <c r="J141" s="32"/>
      <c r="K141" s="32"/>
    </row>
    <row r="142" spans="1:11" ht="15" customHeight="1">
      <c r="A142" s="30"/>
      <c r="B142" s="32"/>
      <c r="C142" s="32"/>
      <c r="D142" s="32"/>
      <c r="E142" s="31"/>
      <c r="F142" s="32"/>
      <c r="G142" s="32"/>
      <c r="H142" s="32"/>
      <c r="I142" s="32"/>
      <c r="J142" s="32"/>
      <c r="K142" s="32"/>
    </row>
    <row r="143" spans="1:11" ht="15" customHeight="1">
      <c r="A143" s="30"/>
      <c r="B143" s="32"/>
      <c r="C143" s="32"/>
      <c r="D143" s="32"/>
      <c r="E143" s="31"/>
      <c r="F143" s="32"/>
      <c r="G143" s="32"/>
      <c r="H143" s="32"/>
      <c r="I143" s="32"/>
      <c r="J143" s="32"/>
      <c r="K143" s="32"/>
    </row>
    <row r="144" spans="1:11" ht="15" customHeight="1">
      <c r="A144" s="30"/>
      <c r="B144" s="32"/>
      <c r="C144" s="32"/>
      <c r="D144" s="32"/>
      <c r="E144" s="31"/>
      <c r="F144" s="32"/>
      <c r="G144" s="32"/>
      <c r="H144" s="32"/>
      <c r="I144" s="32"/>
      <c r="J144" s="32"/>
      <c r="K144" s="32"/>
    </row>
    <row r="145" spans="1:11" ht="15" customHeight="1">
      <c r="A145" s="30"/>
      <c r="B145" s="32"/>
      <c r="C145" s="32"/>
      <c r="D145" s="32"/>
      <c r="E145" s="31"/>
      <c r="F145" s="32"/>
      <c r="G145" s="32"/>
      <c r="H145" s="32"/>
      <c r="I145" s="32"/>
      <c r="J145" s="32"/>
      <c r="K145" s="32"/>
    </row>
    <row r="146" spans="1:11" ht="15" customHeight="1">
      <c r="A146" s="30"/>
      <c r="B146" s="32"/>
      <c r="C146" s="32"/>
      <c r="D146" s="32"/>
      <c r="E146" s="31"/>
      <c r="F146" s="32"/>
      <c r="G146" s="32"/>
      <c r="H146" s="32"/>
      <c r="I146" s="32"/>
      <c r="J146" s="32"/>
      <c r="K146" s="32"/>
    </row>
    <row r="147" spans="1:11" ht="15" customHeight="1">
      <c r="A147" s="30"/>
      <c r="B147" s="32"/>
      <c r="C147" s="32"/>
      <c r="D147" s="32"/>
      <c r="E147" s="31"/>
      <c r="F147" s="32"/>
      <c r="G147" s="32"/>
      <c r="H147" s="32"/>
      <c r="I147" s="32"/>
      <c r="J147" s="32"/>
      <c r="K147" s="32"/>
    </row>
    <row r="148" spans="1:11" ht="15" customHeight="1">
      <c r="A148" s="30"/>
      <c r="B148" s="32"/>
      <c r="C148" s="32"/>
      <c r="D148" s="32"/>
      <c r="E148" s="31"/>
      <c r="F148" s="32"/>
      <c r="G148" s="32"/>
      <c r="H148" s="32"/>
      <c r="I148" s="32"/>
      <c r="J148" s="32"/>
      <c r="K148" s="32"/>
    </row>
    <row r="149" spans="1:11" ht="15" customHeight="1">
      <c r="A149" s="30"/>
      <c r="B149" s="32"/>
      <c r="C149" s="32"/>
      <c r="D149" s="32"/>
      <c r="E149" s="31"/>
      <c r="F149" s="32"/>
      <c r="G149" s="32"/>
      <c r="H149" s="32"/>
      <c r="I149" s="32"/>
      <c r="J149" s="32"/>
      <c r="K149" s="32"/>
    </row>
    <row r="150" spans="1:11" ht="15" customHeight="1">
      <c r="A150" s="30"/>
      <c r="B150" s="32"/>
      <c r="C150" s="32"/>
      <c r="D150" s="32"/>
      <c r="E150" s="31"/>
      <c r="F150" s="32"/>
      <c r="G150" s="32"/>
      <c r="H150" s="32"/>
      <c r="I150" s="32"/>
      <c r="J150" s="32"/>
      <c r="K150" s="32"/>
    </row>
    <row r="151" spans="1:11" ht="15" customHeight="1">
      <c r="A151" s="30"/>
      <c r="B151" s="32"/>
      <c r="C151" s="32"/>
      <c r="D151" s="32"/>
      <c r="E151" s="31"/>
      <c r="F151" s="32"/>
      <c r="G151" s="32"/>
      <c r="H151" s="32"/>
      <c r="I151" s="32"/>
      <c r="J151" s="32"/>
      <c r="K151" s="32"/>
    </row>
    <row r="152" spans="1:11" ht="15" customHeight="1">
      <c r="A152" s="30"/>
      <c r="B152" s="32"/>
      <c r="C152" s="32"/>
      <c r="D152" s="32"/>
      <c r="E152" s="31"/>
      <c r="F152" s="32"/>
      <c r="G152" s="32"/>
      <c r="H152" s="32"/>
      <c r="I152" s="32"/>
      <c r="J152" s="32"/>
      <c r="K152" s="32"/>
    </row>
    <row r="153" spans="1:11" ht="15" customHeight="1">
      <c r="A153" s="30"/>
      <c r="B153" s="32"/>
      <c r="C153" s="32"/>
      <c r="D153" s="32"/>
      <c r="E153" s="31"/>
      <c r="F153" s="32"/>
      <c r="G153" s="32"/>
      <c r="H153" s="32"/>
      <c r="I153" s="32"/>
      <c r="J153" s="32"/>
      <c r="K153" s="32"/>
    </row>
    <row r="154" spans="1:11" ht="15" customHeight="1">
      <c r="A154" s="30"/>
      <c r="B154" s="32"/>
      <c r="C154" s="32"/>
      <c r="D154" s="32"/>
      <c r="E154" s="31"/>
      <c r="F154" s="32"/>
      <c r="G154" s="32"/>
      <c r="H154" s="32"/>
      <c r="I154" s="32"/>
      <c r="J154" s="32"/>
      <c r="K154" s="32"/>
    </row>
    <row r="155" spans="1:11" ht="15" customHeight="1">
      <c r="A155" s="30"/>
      <c r="B155" s="32"/>
      <c r="C155" s="32"/>
      <c r="D155" s="32"/>
      <c r="E155" s="31"/>
      <c r="F155" s="32"/>
      <c r="G155" s="32"/>
      <c r="H155" s="32"/>
      <c r="I155" s="32"/>
      <c r="J155" s="32"/>
      <c r="K155" s="32"/>
    </row>
    <row r="156" spans="1:11" ht="15" customHeight="1">
      <c r="A156" s="30"/>
      <c r="B156" s="32"/>
      <c r="C156" s="32"/>
      <c r="D156" s="32"/>
      <c r="E156" s="31"/>
      <c r="F156" s="32"/>
      <c r="G156" s="32"/>
      <c r="H156" s="32"/>
      <c r="I156" s="32"/>
      <c r="J156" s="32"/>
      <c r="K156" s="32"/>
    </row>
    <row r="157" spans="1:11" ht="15" customHeight="1">
      <c r="A157" s="30"/>
      <c r="B157" s="32"/>
      <c r="C157" s="32"/>
      <c r="D157" s="32"/>
      <c r="E157" s="31"/>
      <c r="F157" s="32"/>
      <c r="G157" s="32"/>
      <c r="H157" s="32"/>
      <c r="I157" s="32"/>
      <c r="J157" s="32"/>
      <c r="K157" s="32"/>
    </row>
    <row r="158" spans="1:11" ht="15" customHeight="1">
      <c r="A158" s="30"/>
      <c r="B158" s="32"/>
      <c r="C158" s="32"/>
      <c r="D158" s="32"/>
      <c r="E158" s="31"/>
      <c r="F158" s="32"/>
      <c r="G158" s="32"/>
      <c r="H158" s="32"/>
      <c r="I158" s="32"/>
      <c r="J158" s="32"/>
      <c r="K158" s="32"/>
    </row>
    <row r="159" spans="1:11" ht="15" customHeight="1">
      <c r="A159" s="30"/>
      <c r="B159" s="32"/>
      <c r="C159" s="32"/>
      <c r="D159" s="32"/>
      <c r="E159" s="31"/>
      <c r="F159" s="32"/>
      <c r="G159" s="32"/>
      <c r="H159" s="32"/>
      <c r="I159" s="32"/>
      <c r="J159" s="32"/>
      <c r="K159" s="32"/>
    </row>
    <row r="160" spans="1:11" ht="15" customHeight="1">
      <c r="A160" s="30"/>
      <c r="B160" s="32"/>
      <c r="C160" s="32"/>
      <c r="D160" s="32"/>
      <c r="E160" s="31"/>
      <c r="F160" s="32"/>
      <c r="G160" s="32"/>
      <c r="H160" s="32"/>
      <c r="I160" s="32"/>
      <c r="J160" s="32"/>
      <c r="K160" s="32"/>
    </row>
    <row r="161" spans="1:11" ht="15" customHeight="1">
      <c r="A161" s="30"/>
      <c r="B161" s="32"/>
      <c r="C161" s="32"/>
      <c r="D161" s="32"/>
      <c r="E161" s="31"/>
      <c r="F161" s="32"/>
      <c r="G161" s="32"/>
      <c r="H161" s="32"/>
      <c r="I161" s="32"/>
      <c r="J161" s="32"/>
      <c r="K161" s="32"/>
    </row>
    <row r="162" spans="1:11" ht="15" customHeight="1">
      <c r="A162" s="30"/>
      <c r="B162" s="32"/>
      <c r="C162" s="32"/>
      <c r="D162" s="32"/>
      <c r="E162" s="31"/>
      <c r="F162" s="32"/>
      <c r="G162" s="32"/>
      <c r="H162" s="32"/>
      <c r="I162" s="32"/>
      <c r="J162" s="32"/>
      <c r="K162" s="32"/>
    </row>
    <row r="163" spans="1:11" ht="15" customHeight="1">
      <c r="A163" s="30"/>
      <c r="B163" s="32"/>
      <c r="C163" s="32"/>
      <c r="D163" s="32"/>
      <c r="E163" s="31"/>
      <c r="F163" s="32"/>
      <c r="G163" s="32"/>
      <c r="H163" s="32"/>
      <c r="I163" s="32"/>
      <c r="J163" s="32"/>
      <c r="K163" s="32"/>
    </row>
    <row r="164" spans="1:11" ht="15" customHeight="1">
      <c r="A164" s="30"/>
      <c r="B164" s="32"/>
      <c r="C164" s="32"/>
      <c r="D164" s="32"/>
      <c r="E164" s="31"/>
      <c r="F164" s="32"/>
      <c r="G164" s="32"/>
      <c r="H164" s="32"/>
      <c r="I164" s="32"/>
      <c r="J164" s="32"/>
      <c r="K164" s="32"/>
    </row>
    <row r="165" spans="1:11" ht="15" customHeight="1">
      <c r="A165" s="30"/>
      <c r="B165" s="32"/>
      <c r="C165" s="32"/>
      <c r="D165" s="32"/>
      <c r="E165" s="31"/>
      <c r="F165" s="32"/>
      <c r="G165" s="32"/>
      <c r="H165" s="32"/>
      <c r="I165" s="32"/>
      <c r="J165" s="32"/>
      <c r="K165" s="32"/>
    </row>
    <row r="166" spans="1:11" ht="15" customHeight="1">
      <c r="A166" s="30"/>
      <c r="B166" s="32"/>
      <c r="C166" s="32"/>
      <c r="D166" s="32"/>
      <c r="E166" s="31"/>
      <c r="F166" s="32"/>
      <c r="G166" s="32"/>
      <c r="H166" s="32"/>
      <c r="I166" s="32"/>
      <c r="J166" s="32"/>
      <c r="K166" s="32"/>
    </row>
    <row r="167" spans="1:11" ht="15" customHeight="1">
      <c r="A167" s="30"/>
      <c r="B167" s="32"/>
      <c r="C167" s="32"/>
      <c r="D167" s="32"/>
      <c r="E167" s="31"/>
      <c r="F167" s="32"/>
      <c r="G167" s="32"/>
      <c r="H167" s="32"/>
      <c r="I167" s="32"/>
      <c r="J167" s="32"/>
      <c r="K167" s="32"/>
    </row>
    <row r="168" spans="1:11" ht="15" customHeight="1">
      <c r="A168" s="30"/>
      <c r="B168" s="32"/>
      <c r="C168" s="32"/>
      <c r="D168" s="32"/>
      <c r="E168" s="31"/>
      <c r="F168" s="32"/>
      <c r="G168" s="32"/>
      <c r="H168" s="32"/>
      <c r="I168" s="32"/>
      <c r="J168" s="32"/>
      <c r="K168" s="32"/>
    </row>
    <row r="169" spans="1:11" ht="15" customHeight="1">
      <c r="A169" s="30"/>
      <c r="B169" s="32"/>
      <c r="C169" s="32"/>
      <c r="D169" s="32"/>
      <c r="E169" s="31"/>
      <c r="F169" s="32"/>
      <c r="G169" s="32"/>
      <c r="H169" s="32"/>
      <c r="I169" s="32"/>
      <c r="J169" s="32"/>
      <c r="K169" s="32"/>
    </row>
    <row r="170" spans="1:11" ht="15" customHeight="1">
      <c r="A170" s="30"/>
      <c r="B170" s="32"/>
      <c r="C170" s="32"/>
      <c r="D170" s="32"/>
      <c r="E170" s="31"/>
      <c r="F170" s="32"/>
      <c r="G170" s="32"/>
      <c r="H170" s="32"/>
      <c r="I170" s="32"/>
      <c r="J170" s="32"/>
      <c r="K170" s="32"/>
    </row>
    <row r="171" spans="1:11" ht="15" customHeight="1">
      <c r="A171" s="30"/>
      <c r="B171" s="32"/>
      <c r="C171" s="32"/>
      <c r="D171" s="32"/>
      <c r="E171" s="31"/>
      <c r="F171" s="32"/>
      <c r="G171" s="32"/>
      <c r="H171" s="32"/>
      <c r="I171" s="32"/>
      <c r="J171" s="32"/>
      <c r="K171" s="32"/>
    </row>
    <row r="172" spans="1:11" ht="15" customHeight="1">
      <c r="A172" s="30"/>
      <c r="B172" s="32"/>
      <c r="C172" s="32"/>
      <c r="D172" s="32"/>
      <c r="E172" s="31"/>
      <c r="F172" s="32"/>
      <c r="G172" s="32"/>
      <c r="H172" s="32"/>
      <c r="I172" s="32"/>
      <c r="J172" s="32"/>
      <c r="K172" s="32"/>
    </row>
    <row r="173" spans="1:11" ht="15" customHeight="1">
      <c r="A173" s="30"/>
      <c r="B173" s="32"/>
      <c r="C173" s="32"/>
      <c r="D173" s="32"/>
      <c r="E173" s="31"/>
      <c r="F173" s="32"/>
      <c r="G173" s="32"/>
      <c r="H173" s="32"/>
      <c r="I173" s="32"/>
      <c r="J173" s="32"/>
      <c r="K173" s="32"/>
    </row>
    <row r="174" spans="1:11" ht="15" customHeight="1">
      <c r="A174" s="30"/>
      <c r="B174" s="32"/>
      <c r="C174" s="32"/>
      <c r="D174" s="32"/>
      <c r="E174" s="31"/>
      <c r="F174" s="32"/>
      <c r="G174" s="32"/>
      <c r="H174" s="32"/>
      <c r="I174" s="32"/>
      <c r="J174" s="32"/>
      <c r="K174" s="32"/>
    </row>
    <row r="175" spans="1:11" ht="15" customHeight="1">
      <c r="A175" s="30"/>
      <c r="B175" s="32"/>
      <c r="C175" s="32"/>
      <c r="D175" s="32"/>
      <c r="E175" s="31"/>
      <c r="F175" s="32"/>
      <c r="G175" s="32"/>
      <c r="H175" s="32"/>
      <c r="I175" s="32"/>
      <c r="J175" s="32"/>
      <c r="K175" s="32"/>
    </row>
    <row r="176" spans="1:11" ht="15" customHeight="1">
      <c r="A176" s="30"/>
      <c r="B176" s="32"/>
      <c r="C176" s="32"/>
      <c r="D176" s="32"/>
      <c r="E176" s="31"/>
      <c r="F176" s="32"/>
      <c r="G176" s="32"/>
      <c r="H176" s="32"/>
      <c r="I176" s="32"/>
      <c r="J176" s="32"/>
      <c r="K176" s="32"/>
    </row>
    <row r="177" spans="1:11" ht="15" customHeight="1">
      <c r="A177" s="30"/>
      <c r="B177" s="32"/>
      <c r="C177" s="32"/>
      <c r="D177" s="32"/>
      <c r="E177" s="31"/>
      <c r="F177" s="32"/>
      <c r="G177" s="32"/>
      <c r="H177" s="32"/>
      <c r="I177" s="32"/>
      <c r="J177" s="32"/>
      <c r="K177" s="32"/>
    </row>
    <row r="178" spans="1:11" ht="15" customHeight="1">
      <c r="A178" s="30"/>
      <c r="B178" s="32"/>
      <c r="C178" s="32"/>
      <c r="D178" s="32"/>
      <c r="E178" s="31"/>
      <c r="F178" s="32"/>
      <c r="G178" s="32"/>
      <c r="H178" s="32"/>
      <c r="I178" s="32"/>
      <c r="J178" s="32"/>
      <c r="K178" s="32"/>
    </row>
    <row r="179" spans="1:11" ht="15" customHeight="1">
      <c r="A179" s="30"/>
      <c r="B179" s="32"/>
      <c r="C179" s="32"/>
      <c r="D179" s="32"/>
      <c r="E179" s="31"/>
      <c r="F179" s="32"/>
      <c r="G179" s="32"/>
      <c r="H179" s="32"/>
      <c r="I179" s="32"/>
      <c r="J179" s="32"/>
      <c r="K179" s="32"/>
    </row>
    <row r="180" spans="1:11" ht="15" customHeight="1">
      <c r="A180" s="30"/>
      <c r="B180" s="32"/>
      <c r="C180" s="32"/>
      <c r="D180" s="32"/>
      <c r="E180" s="31"/>
      <c r="F180" s="32"/>
      <c r="G180" s="32"/>
      <c r="H180" s="32"/>
      <c r="I180" s="32"/>
      <c r="J180" s="32"/>
      <c r="K180" s="32"/>
    </row>
    <row r="181" spans="1:11" ht="15" customHeight="1">
      <c r="A181" s="30"/>
      <c r="B181" s="32"/>
      <c r="C181" s="32"/>
      <c r="D181" s="32"/>
      <c r="E181" s="31"/>
      <c r="F181" s="32"/>
      <c r="G181" s="32"/>
      <c r="H181" s="32"/>
      <c r="I181" s="32"/>
      <c r="J181" s="32"/>
      <c r="K181" s="32"/>
    </row>
    <row r="182" spans="1:11" ht="15" customHeight="1">
      <c r="A182" s="30"/>
      <c r="B182" s="32"/>
      <c r="C182" s="32"/>
      <c r="D182" s="32"/>
      <c r="E182" s="31"/>
      <c r="F182" s="32"/>
      <c r="G182" s="32"/>
      <c r="H182" s="32"/>
      <c r="I182" s="32"/>
      <c r="J182" s="32"/>
      <c r="K182" s="32"/>
    </row>
    <row r="183" spans="1:11" ht="15" customHeight="1">
      <c r="A183" s="30"/>
      <c r="B183" s="32"/>
      <c r="C183" s="32"/>
      <c r="D183" s="32"/>
      <c r="E183" s="31"/>
      <c r="F183" s="32"/>
      <c r="G183" s="32"/>
      <c r="H183" s="32"/>
      <c r="I183" s="32"/>
      <c r="J183" s="32"/>
      <c r="K183" s="32"/>
    </row>
    <row r="184" spans="1:11" ht="15" customHeight="1">
      <c r="A184" s="30"/>
      <c r="B184" s="32"/>
      <c r="C184" s="32"/>
      <c r="D184" s="32"/>
      <c r="E184" s="31"/>
      <c r="F184" s="32"/>
      <c r="G184" s="32"/>
      <c r="H184" s="32"/>
      <c r="I184" s="32"/>
      <c r="J184" s="32"/>
      <c r="K184" s="32"/>
    </row>
    <row r="185" spans="1:11" ht="15" customHeight="1">
      <c r="A185" s="30"/>
      <c r="B185" s="32"/>
      <c r="C185" s="32"/>
      <c r="D185" s="32"/>
      <c r="E185" s="31"/>
      <c r="F185" s="32"/>
      <c r="G185" s="32"/>
      <c r="H185" s="32"/>
      <c r="I185" s="32"/>
      <c r="J185" s="32"/>
      <c r="K185" s="32"/>
    </row>
    <row r="186" spans="1:11" ht="15" customHeight="1">
      <c r="A186" s="30"/>
      <c r="B186" s="32"/>
      <c r="C186" s="32"/>
      <c r="D186" s="32"/>
      <c r="E186" s="31"/>
      <c r="F186" s="32"/>
      <c r="G186" s="32"/>
      <c r="H186" s="32"/>
      <c r="I186" s="32"/>
      <c r="J186" s="32"/>
      <c r="K186" s="32"/>
    </row>
    <row r="187" spans="1:11" ht="15" customHeight="1">
      <c r="A187" s="30"/>
      <c r="B187" s="32"/>
      <c r="C187" s="32"/>
      <c r="D187" s="32"/>
      <c r="E187" s="31"/>
      <c r="F187" s="32"/>
      <c r="G187" s="32"/>
      <c r="H187" s="32"/>
      <c r="I187" s="32"/>
      <c r="J187" s="32"/>
      <c r="K187" s="32"/>
    </row>
    <row r="188" spans="1:11" ht="15" customHeight="1">
      <c r="A188" s="30"/>
      <c r="B188" s="32"/>
      <c r="C188" s="32"/>
      <c r="D188" s="32"/>
      <c r="E188" s="31"/>
      <c r="F188" s="32"/>
      <c r="G188" s="32"/>
      <c r="H188" s="32"/>
      <c r="I188" s="32"/>
      <c r="J188" s="32"/>
      <c r="K188" s="32"/>
    </row>
    <row r="189" spans="1:11" ht="15" customHeight="1">
      <c r="A189" s="30"/>
      <c r="B189" s="32"/>
      <c r="C189" s="32"/>
      <c r="D189" s="32"/>
      <c r="E189" s="31"/>
      <c r="F189" s="32"/>
      <c r="G189" s="32"/>
      <c r="H189" s="32"/>
      <c r="I189" s="32"/>
      <c r="J189" s="32"/>
      <c r="K189" s="32"/>
    </row>
    <row r="190" spans="1:11" ht="15" customHeight="1">
      <c r="A190" s="30"/>
      <c r="B190" s="32"/>
      <c r="C190" s="32"/>
      <c r="D190" s="32"/>
      <c r="E190" s="31"/>
      <c r="F190" s="32"/>
      <c r="G190" s="32"/>
      <c r="H190" s="32"/>
      <c r="I190" s="32"/>
      <c r="J190" s="32"/>
      <c r="K190" s="32"/>
    </row>
    <row r="191" spans="1:11" ht="15" customHeight="1">
      <c r="A191" s="30"/>
      <c r="B191" s="32"/>
      <c r="C191" s="32"/>
      <c r="D191" s="32"/>
      <c r="E191" s="31"/>
      <c r="F191" s="32"/>
      <c r="G191" s="32"/>
      <c r="H191" s="32"/>
      <c r="I191" s="32"/>
      <c r="J191" s="32"/>
      <c r="K191" s="32"/>
    </row>
    <row r="192" spans="1:11" ht="15" customHeight="1">
      <c r="A192" s="30"/>
      <c r="B192" s="32"/>
      <c r="C192" s="32"/>
      <c r="D192" s="32"/>
      <c r="E192" s="31"/>
      <c r="F192" s="32"/>
      <c r="G192" s="32"/>
      <c r="H192" s="32"/>
      <c r="I192" s="32"/>
      <c r="J192" s="32"/>
      <c r="K192" s="32"/>
    </row>
    <row r="193" spans="1:11" ht="15" customHeight="1">
      <c r="A193" s="30"/>
      <c r="B193" s="32"/>
      <c r="C193" s="32"/>
      <c r="D193" s="32"/>
      <c r="E193" s="31"/>
      <c r="F193" s="32"/>
      <c r="G193" s="32"/>
      <c r="H193" s="32"/>
      <c r="I193" s="32"/>
      <c r="J193" s="32"/>
      <c r="K193" s="32"/>
    </row>
    <row r="194" spans="1:11" ht="15" customHeight="1">
      <c r="A194" s="30"/>
      <c r="B194" s="32"/>
      <c r="C194" s="32"/>
      <c r="D194" s="32"/>
      <c r="E194" s="31"/>
      <c r="F194" s="32"/>
      <c r="G194" s="32"/>
      <c r="H194" s="32"/>
      <c r="I194" s="32"/>
      <c r="J194" s="32"/>
      <c r="K194" s="32"/>
    </row>
    <row r="195" spans="1:11" ht="15" customHeight="1">
      <c r="A195" s="30"/>
      <c r="B195" s="32"/>
      <c r="C195" s="32"/>
      <c r="D195" s="32"/>
      <c r="E195" s="31"/>
      <c r="F195" s="32"/>
      <c r="G195" s="32"/>
      <c r="H195" s="32"/>
      <c r="I195" s="32"/>
      <c r="J195" s="32"/>
      <c r="K195" s="32"/>
    </row>
    <row r="196" spans="1:11" ht="15" customHeight="1">
      <c r="A196" s="30"/>
      <c r="B196" s="32"/>
      <c r="C196" s="32"/>
      <c r="D196" s="32"/>
      <c r="E196" s="31"/>
      <c r="F196" s="32"/>
      <c r="G196" s="32"/>
      <c r="H196" s="32"/>
      <c r="I196" s="32"/>
      <c r="J196" s="32"/>
      <c r="K196" s="32"/>
    </row>
    <row r="197" spans="1:11" ht="15" customHeight="1">
      <c r="A197" s="30"/>
      <c r="B197" s="32"/>
      <c r="C197" s="32"/>
      <c r="D197" s="32"/>
      <c r="E197" s="31"/>
      <c r="F197" s="32"/>
      <c r="G197" s="32"/>
      <c r="H197" s="32"/>
      <c r="I197" s="32"/>
      <c r="J197" s="32"/>
      <c r="K197" s="32"/>
    </row>
    <row r="198" spans="1:11" ht="15" customHeight="1">
      <c r="A198" s="30"/>
      <c r="B198" s="32"/>
      <c r="C198" s="32"/>
      <c r="D198" s="32"/>
      <c r="E198" s="31"/>
      <c r="F198" s="32"/>
      <c r="G198" s="32"/>
      <c r="H198" s="32"/>
      <c r="I198" s="32"/>
      <c r="J198" s="32"/>
      <c r="K198" s="32"/>
    </row>
    <row r="199" spans="1:11" ht="15" customHeight="1">
      <c r="A199" s="30"/>
      <c r="B199" s="32"/>
      <c r="C199" s="32"/>
      <c r="D199" s="32"/>
      <c r="E199" s="31"/>
      <c r="F199" s="32"/>
      <c r="G199" s="32"/>
      <c r="H199" s="32"/>
      <c r="I199" s="32"/>
      <c r="J199" s="32"/>
      <c r="K199" s="32"/>
    </row>
    <row r="200" spans="1:11" ht="15" customHeight="1">
      <c r="A200" s="30"/>
      <c r="B200" s="32"/>
      <c r="C200" s="32"/>
      <c r="D200" s="32"/>
      <c r="E200" s="31"/>
      <c r="F200" s="32"/>
      <c r="G200" s="32"/>
      <c r="H200" s="32"/>
      <c r="I200" s="32"/>
      <c r="J200" s="32"/>
      <c r="K200" s="32"/>
    </row>
    <row r="201" spans="1:11" ht="15" customHeight="1">
      <c r="A201" s="30"/>
      <c r="B201" s="32"/>
      <c r="C201" s="32"/>
      <c r="D201" s="32"/>
      <c r="E201" s="31"/>
      <c r="F201" s="32"/>
      <c r="G201" s="32"/>
      <c r="H201" s="32"/>
      <c r="I201" s="32"/>
      <c r="J201" s="32"/>
      <c r="K201" s="32"/>
    </row>
    <row r="202" spans="1:11" ht="15" customHeight="1">
      <c r="A202" s="30"/>
      <c r="B202" s="32"/>
      <c r="C202" s="32"/>
      <c r="D202" s="32"/>
      <c r="E202" s="31"/>
      <c r="F202" s="32"/>
      <c r="G202" s="32"/>
      <c r="H202" s="32"/>
      <c r="I202" s="32"/>
      <c r="J202" s="32"/>
      <c r="K202" s="32"/>
    </row>
    <row r="203" spans="1:11" ht="15" customHeight="1">
      <c r="A203" s="30"/>
      <c r="B203" s="32"/>
      <c r="C203" s="32"/>
      <c r="D203" s="32"/>
      <c r="E203" s="31"/>
      <c r="F203" s="32"/>
      <c r="G203" s="32"/>
      <c r="H203" s="32"/>
      <c r="I203" s="32"/>
      <c r="J203" s="32"/>
      <c r="K203" s="32"/>
    </row>
    <row r="204" spans="1:11" ht="15" customHeight="1">
      <c r="A204" s="30"/>
      <c r="B204" s="32"/>
      <c r="C204" s="32"/>
      <c r="D204" s="32"/>
      <c r="E204" s="31"/>
      <c r="F204" s="32"/>
      <c r="G204" s="32"/>
      <c r="H204" s="32"/>
      <c r="I204" s="32"/>
      <c r="J204" s="32"/>
      <c r="K204" s="32"/>
    </row>
    <row r="205" spans="1:11" ht="15" customHeight="1">
      <c r="A205" s="30"/>
      <c r="B205" s="32"/>
      <c r="C205" s="32"/>
      <c r="D205" s="32"/>
      <c r="E205" s="31"/>
      <c r="F205" s="32"/>
      <c r="G205" s="32"/>
      <c r="H205" s="32"/>
      <c r="I205" s="32"/>
      <c r="J205" s="32"/>
      <c r="K205" s="32"/>
    </row>
    <row r="206" spans="1:11" ht="15" customHeight="1">
      <c r="A206" s="30"/>
      <c r="B206" s="32"/>
      <c r="C206" s="32"/>
      <c r="D206" s="32"/>
      <c r="E206" s="31"/>
      <c r="F206" s="32"/>
      <c r="G206" s="32"/>
      <c r="H206" s="32"/>
      <c r="I206" s="32"/>
      <c r="J206" s="32"/>
      <c r="K206" s="32"/>
    </row>
    <row r="207" spans="1:11" ht="15" customHeight="1">
      <c r="A207" s="30"/>
      <c r="B207" s="32"/>
      <c r="C207" s="32"/>
      <c r="D207" s="32"/>
      <c r="E207" s="31"/>
      <c r="F207" s="32"/>
      <c r="G207" s="32"/>
      <c r="H207" s="32"/>
      <c r="I207" s="32"/>
      <c r="J207" s="32"/>
      <c r="K207" s="32"/>
    </row>
    <row r="208" spans="1:11" ht="15" customHeight="1">
      <c r="A208" s="30"/>
      <c r="B208" s="32"/>
      <c r="C208" s="32"/>
      <c r="D208" s="32"/>
      <c r="E208" s="31"/>
      <c r="F208" s="32"/>
      <c r="G208" s="32"/>
      <c r="H208" s="32"/>
      <c r="I208" s="32"/>
      <c r="J208" s="32"/>
      <c r="K208" s="32"/>
    </row>
    <row r="209" spans="1:11" ht="15" customHeight="1">
      <c r="A209" s="30"/>
      <c r="B209" s="32"/>
      <c r="C209" s="32"/>
      <c r="D209" s="32"/>
      <c r="E209" s="31"/>
      <c r="F209" s="32"/>
      <c r="G209" s="32"/>
      <c r="H209" s="32"/>
      <c r="I209" s="32"/>
      <c r="J209" s="32"/>
      <c r="K209" s="32"/>
    </row>
    <row r="210" spans="1:11" ht="15" customHeight="1">
      <c r="A210" s="30"/>
      <c r="B210" s="32"/>
      <c r="C210" s="32"/>
      <c r="D210" s="32"/>
      <c r="E210" s="31"/>
      <c r="F210" s="32"/>
      <c r="G210" s="32"/>
      <c r="H210" s="32"/>
      <c r="I210" s="32"/>
      <c r="J210" s="32"/>
      <c r="K210" s="32"/>
    </row>
    <row r="211" spans="1:11" ht="15" customHeight="1">
      <c r="A211" s="30"/>
      <c r="B211" s="32"/>
      <c r="C211" s="32"/>
      <c r="D211" s="32"/>
      <c r="E211" s="31"/>
      <c r="F211" s="32"/>
      <c r="G211" s="32"/>
      <c r="H211" s="32"/>
      <c r="I211" s="32"/>
      <c r="J211" s="32"/>
      <c r="K211" s="32"/>
    </row>
    <row r="212" spans="1:11" ht="15" customHeight="1">
      <c r="A212" s="30"/>
      <c r="B212" s="32"/>
      <c r="C212" s="32"/>
      <c r="D212" s="32"/>
      <c r="E212" s="31"/>
      <c r="F212" s="32"/>
      <c r="G212" s="32"/>
      <c r="H212" s="32"/>
      <c r="I212" s="32"/>
      <c r="J212" s="32"/>
      <c r="K212" s="32"/>
    </row>
    <row r="213" spans="1:11" ht="15" customHeight="1">
      <c r="A213" s="30"/>
      <c r="B213" s="32"/>
      <c r="C213" s="32"/>
      <c r="D213" s="32"/>
      <c r="E213" s="31"/>
      <c r="F213" s="32"/>
      <c r="G213" s="32"/>
      <c r="H213" s="32"/>
      <c r="I213" s="32"/>
      <c r="J213" s="32"/>
      <c r="K213" s="32"/>
    </row>
    <row r="214" spans="1:11" ht="15" customHeight="1">
      <c r="A214" s="30"/>
      <c r="B214" s="32"/>
      <c r="C214" s="32"/>
      <c r="D214" s="32"/>
      <c r="E214" s="31"/>
      <c r="F214" s="32"/>
      <c r="G214" s="32"/>
      <c r="H214" s="32"/>
      <c r="I214" s="32"/>
      <c r="J214" s="32"/>
      <c r="K214" s="32"/>
    </row>
    <row r="215" spans="1:11" ht="15" customHeight="1">
      <c r="A215" s="30"/>
      <c r="B215" s="32"/>
      <c r="C215" s="32"/>
      <c r="D215" s="32"/>
      <c r="E215" s="31"/>
      <c r="F215" s="32"/>
      <c r="G215" s="32"/>
      <c r="H215" s="32"/>
      <c r="I215" s="32"/>
      <c r="J215" s="32"/>
      <c r="K215" s="32"/>
    </row>
    <row r="216" spans="1:11" ht="15" customHeight="1">
      <c r="A216" s="30"/>
      <c r="B216" s="32"/>
      <c r="C216" s="32"/>
      <c r="D216" s="32"/>
      <c r="E216" s="31"/>
      <c r="F216" s="32"/>
      <c r="G216" s="32"/>
      <c r="H216" s="32"/>
      <c r="I216" s="32"/>
      <c r="J216" s="32"/>
      <c r="K216" s="32"/>
    </row>
    <row r="217" spans="1:11" ht="15" customHeight="1">
      <c r="A217" s="30"/>
      <c r="B217" s="32"/>
      <c r="C217" s="32"/>
      <c r="D217" s="32"/>
      <c r="E217" s="31"/>
      <c r="F217" s="32"/>
      <c r="G217" s="32"/>
      <c r="H217" s="32"/>
      <c r="I217" s="32"/>
      <c r="J217" s="32"/>
      <c r="K217" s="32"/>
    </row>
    <row r="218" spans="1:11" ht="15" customHeight="1">
      <c r="A218" s="30"/>
      <c r="B218" s="32"/>
      <c r="C218" s="32"/>
      <c r="D218" s="32"/>
      <c r="E218" s="31"/>
      <c r="F218" s="32"/>
      <c r="G218" s="32"/>
      <c r="H218" s="32"/>
      <c r="I218" s="32"/>
      <c r="J218" s="32"/>
      <c r="K218" s="32"/>
    </row>
    <row r="219" spans="1:11" ht="15" customHeight="1">
      <c r="A219" s="30"/>
      <c r="B219" s="32"/>
      <c r="C219" s="32"/>
      <c r="D219" s="32"/>
      <c r="E219" s="31"/>
      <c r="F219" s="32"/>
      <c r="G219" s="32"/>
      <c r="H219" s="32"/>
      <c r="I219" s="32"/>
      <c r="J219" s="32"/>
      <c r="K219" s="32"/>
    </row>
    <row r="220" spans="1:11" ht="15" customHeight="1">
      <c r="A220" s="30"/>
      <c r="B220" s="32"/>
      <c r="C220" s="32"/>
      <c r="D220" s="32"/>
      <c r="E220" s="31"/>
      <c r="F220" s="32"/>
      <c r="G220" s="32"/>
      <c r="H220" s="32"/>
      <c r="I220" s="32"/>
      <c r="J220" s="32"/>
      <c r="K220" s="32"/>
    </row>
    <row r="221" spans="1:11" ht="15" customHeight="1">
      <c r="A221" s="30"/>
      <c r="B221" s="32"/>
      <c r="C221" s="32"/>
      <c r="D221" s="32"/>
      <c r="E221" s="31"/>
      <c r="F221" s="32"/>
      <c r="G221" s="32"/>
      <c r="H221" s="32"/>
      <c r="I221" s="32"/>
      <c r="J221" s="32"/>
      <c r="K221" s="32"/>
    </row>
    <row r="222" spans="1:11" ht="15" customHeight="1">
      <c r="A222" s="30"/>
      <c r="B222" s="32"/>
      <c r="C222" s="32"/>
      <c r="D222" s="32"/>
      <c r="E222" s="31"/>
      <c r="F222" s="32"/>
      <c r="G222" s="32"/>
      <c r="H222" s="32"/>
      <c r="I222" s="32"/>
      <c r="J222" s="32"/>
      <c r="K222" s="32"/>
    </row>
    <row r="223" spans="1:11" ht="15" customHeight="1">
      <c r="A223" s="30"/>
      <c r="B223" s="32"/>
      <c r="C223" s="32"/>
      <c r="D223" s="32"/>
      <c r="E223" s="31"/>
      <c r="F223" s="32"/>
      <c r="G223" s="32"/>
      <c r="H223" s="32"/>
      <c r="I223" s="32"/>
      <c r="J223" s="32"/>
      <c r="K223" s="32"/>
    </row>
    <row r="224" spans="1:11" ht="15" customHeight="1">
      <c r="A224" s="30"/>
      <c r="B224" s="32"/>
      <c r="C224" s="32"/>
      <c r="D224" s="32"/>
      <c r="E224" s="31"/>
      <c r="F224" s="32"/>
      <c r="G224" s="32"/>
      <c r="H224" s="32"/>
      <c r="I224" s="32"/>
      <c r="J224" s="32"/>
      <c r="K224" s="32"/>
    </row>
    <row r="225" spans="1:11" ht="15" customHeight="1">
      <c r="A225" s="30"/>
      <c r="B225" s="32"/>
      <c r="C225" s="32"/>
      <c r="D225" s="32"/>
      <c r="E225" s="31"/>
      <c r="F225" s="32"/>
      <c r="G225" s="32"/>
      <c r="H225" s="32"/>
      <c r="I225" s="32"/>
      <c r="J225" s="32"/>
      <c r="K225" s="32"/>
    </row>
    <row r="226" spans="1:11" ht="15" customHeight="1">
      <c r="A226" s="30"/>
      <c r="B226" s="32"/>
      <c r="C226" s="32"/>
      <c r="D226" s="32"/>
      <c r="E226" s="31"/>
      <c r="F226" s="32"/>
      <c r="G226" s="32"/>
      <c r="H226" s="32"/>
      <c r="I226" s="32"/>
      <c r="J226" s="32"/>
      <c r="K226" s="32"/>
    </row>
    <row r="227" spans="1:11" ht="15" customHeight="1">
      <c r="A227" s="30"/>
      <c r="B227" s="32"/>
      <c r="C227" s="32"/>
      <c r="D227" s="32"/>
      <c r="E227" s="31"/>
      <c r="F227" s="32"/>
      <c r="G227" s="32"/>
      <c r="H227" s="32"/>
      <c r="I227" s="32"/>
      <c r="J227" s="32"/>
      <c r="K227" s="32"/>
    </row>
    <row r="228" spans="1:11" ht="15" customHeight="1">
      <c r="A228" s="30"/>
      <c r="B228" s="32"/>
      <c r="C228" s="32"/>
      <c r="D228" s="32"/>
      <c r="E228" s="31"/>
      <c r="F228" s="32"/>
      <c r="G228" s="32"/>
      <c r="H228" s="32"/>
      <c r="I228" s="32"/>
      <c r="J228" s="32"/>
      <c r="K228" s="32"/>
    </row>
    <row r="229" spans="1:11" ht="15" customHeight="1">
      <c r="A229" s="30"/>
      <c r="B229" s="32"/>
      <c r="C229" s="32"/>
      <c r="D229" s="32"/>
      <c r="E229" s="31"/>
      <c r="F229" s="32"/>
      <c r="G229" s="32"/>
      <c r="H229" s="32"/>
      <c r="I229" s="32"/>
      <c r="J229" s="32"/>
      <c r="K229" s="32"/>
    </row>
    <row r="230" spans="1:11" ht="15" customHeight="1">
      <c r="A230" s="30"/>
      <c r="B230" s="32"/>
      <c r="C230" s="32"/>
      <c r="D230" s="32"/>
      <c r="E230" s="31"/>
      <c r="F230" s="32"/>
      <c r="G230" s="32"/>
      <c r="H230" s="32"/>
      <c r="I230" s="32"/>
      <c r="J230" s="32"/>
      <c r="K230" s="32"/>
    </row>
    <row r="231" spans="1:11" ht="15" customHeight="1">
      <c r="A231" s="30"/>
      <c r="B231" s="32"/>
      <c r="C231" s="32"/>
      <c r="D231" s="32"/>
      <c r="E231" s="31"/>
      <c r="F231" s="32"/>
      <c r="G231" s="32"/>
      <c r="H231" s="32"/>
      <c r="I231" s="32"/>
      <c r="J231" s="32"/>
      <c r="K231" s="32"/>
    </row>
    <row r="232" spans="1:11" ht="15" customHeight="1">
      <c r="A232" s="30"/>
      <c r="B232" s="32"/>
      <c r="C232" s="32"/>
      <c r="D232" s="32"/>
      <c r="E232" s="31"/>
      <c r="F232" s="32"/>
      <c r="G232" s="32"/>
      <c r="H232" s="32"/>
      <c r="I232" s="32"/>
      <c r="J232" s="32"/>
      <c r="K232" s="32"/>
    </row>
    <row r="233" spans="1:11" ht="15" customHeight="1">
      <c r="A233" s="30"/>
      <c r="B233" s="32"/>
      <c r="C233" s="32"/>
      <c r="D233" s="32"/>
      <c r="E233" s="31"/>
      <c r="F233" s="32"/>
      <c r="G233" s="32"/>
      <c r="H233" s="32"/>
      <c r="I233" s="32"/>
      <c r="J233" s="32"/>
      <c r="K233" s="32"/>
    </row>
    <row r="234" spans="1:11" ht="15" customHeight="1">
      <c r="A234" s="30"/>
      <c r="B234" s="32"/>
      <c r="C234" s="32"/>
      <c r="D234" s="32"/>
      <c r="E234" s="31"/>
      <c r="F234" s="32"/>
      <c r="G234" s="32"/>
      <c r="H234" s="32"/>
      <c r="I234" s="32"/>
      <c r="J234" s="32"/>
      <c r="K234" s="32"/>
    </row>
    <row r="235" spans="1:11" ht="15" customHeight="1">
      <c r="A235" s="30"/>
      <c r="B235" s="32"/>
      <c r="C235" s="32"/>
      <c r="D235" s="32"/>
      <c r="E235" s="31"/>
      <c r="F235" s="32"/>
      <c r="G235" s="32"/>
      <c r="H235" s="32"/>
      <c r="I235" s="32"/>
      <c r="J235" s="32"/>
      <c r="K235" s="32"/>
    </row>
    <row r="236" spans="1:11" ht="15" customHeight="1">
      <c r="A236" s="30"/>
      <c r="B236" s="32"/>
      <c r="C236" s="32"/>
      <c r="D236" s="32"/>
      <c r="E236" s="31"/>
      <c r="F236" s="32"/>
      <c r="G236" s="32"/>
      <c r="H236" s="32"/>
      <c r="I236" s="32"/>
      <c r="J236" s="32"/>
      <c r="K236" s="32"/>
    </row>
    <row r="237" spans="1:11" ht="15" customHeight="1">
      <c r="A237" s="30"/>
      <c r="B237" s="32"/>
      <c r="C237" s="32"/>
      <c r="D237" s="32"/>
      <c r="E237" s="31"/>
      <c r="F237" s="32"/>
      <c r="G237" s="32"/>
      <c r="H237" s="32"/>
      <c r="I237" s="32"/>
      <c r="J237" s="32"/>
      <c r="K237" s="32"/>
    </row>
    <row r="238" spans="1:11" ht="15" customHeight="1">
      <c r="A238" s="30"/>
      <c r="B238" s="32"/>
      <c r="C238" s="32"/>
      <c r="D238" s="32"/>
      <c r="E238" s="31"/>
      <c r="F238" s="32"/>
      <c r="G238" s="32"/>
      <c r="H238" s="32"/>
      <c r="I238" s="32"/>
      <c r="J238" s="32"/>
      <c r="K238" s="32"/>
    </row>
    <row r="239" spans="1:11" ht="15" customHeight="1">
      <c r="A239" s="30"/>
      <c r="B239" s="32"/>
      <c r="C239" s="32"/>
      <c r="D239" s="32"/>
      <c r="E239" s="31"/>
      <c r="F239" s="32"/>
      <c r="G239" s="32"/>
      <c r="H239" s="32"/>
      <c r="I239" s="32"/>
      <c r="J239" s="32"/>
      <c r="K239" s="32"/>
    </row>
    <row r="240" spans="1:11" ht="15" customHeight="1">
      <c r="A240" s="30"/>
      <c r="B240" s="32"/>
      <c r="C240" s="32"/>
      <c r="D240" s="32"/>
      <c r="E240" s="31"/>
      <c r="F240" s="32"/>
      <c r="G240" s="32"/>
      <c r="H240" s="32"/>
      <c r="I240" s="32"/>
      <c r="J240" s="32"/>
      <c r="K240" s="32"/>
    </row>
    <row r="241" spans="1:11" ht="15" customHeight="1">
      <c r="A241" s="30"/>
      <c r="B241" s="32"/>
      <c r="C241" s="32"/>
      <c r="D241" s="32"/>
      <c r="E241" s="31"/>
      <c r="F241" s="32"/>
      <c r="G241" s="32"/>
      <c r="H241" s="32"/>
      <c r="I241" s="32"/>
      <c r="J241" s="32"/>
      <c r="K241" s="32"/>
    </row>
    <row r="242" spans="1:11" ht="15" customHeight="1">
      <c r="A242" s="30"/>
      <c r="B242" s="32"/>
      <c r="C242" s="32"/>
      <c r="D242" s="32"/>
      <c r="E242" s="31"/>
      <c r="F242" s="32"/>
      <c r="G242" s="32"/>
      <c r="H242" s="32"/>
      <c r="I242" s="32"/>
      <c r="J242" s="32"/>
      <c r="K242" s="32"/>
    </row>
    <row r="243" spans="1:11" ht="15" customHeight="1">
      <c r="A243" s="30"/>
      <c r="B243" s="32"/>
      <c r="C243" s="32"/>
      <c r="D243" s="32"/>
      <c r="E243" s="31"/>
      <c r="F243" s="32"/>
      <c r="G243" s="32"/>
      <c r="H243" s="32"/>
      <c r="I243" s="32"/>
      <c r="J243" s="32"/>
      <c r="K243" s="32"/>
    </row>
    <row r="244" spans="1:11" ht="15" customHeight="1">
      <c r="A244" s="30"/>
      <c r="B244" s="32"/>
      <c r="C244" s="32"/>
      <c r="D244" s="32"/>
      <c r="E244" s="31"/>
      <c r="F244" s="32"/>
      <c r="G244" s="32"/>
      <c r="H244" s="32"/>
      <c r="I244" s="32"/>
      <c r="J244" s="32"/>
      <c r="K244" s="32"/>
    </row>
    <row r="245" spans="1:11" ht="15" customHeight="1">
      <c r="A245" s="30"/>
      <c r="B245" s="32"/>
      <c r="C245" s="32"/>
      <c r="D245" s="32"/>
      <c r="E245" s="31"/>
      <c r="F245" s="32"/>
      <c r="G245" s="32"/>
      <c r="H245" s="32"/>
      <c r="I245" s="32"/>
      <c r="J245" s="32"/>
      <c r="K245" s="32"/>
    </row>
    <row r="246" spans="1:11" ht="15" customHeight="1">
      <c r="A246" s="30"/>
      <c r="B246" s="32"/>
      <c r="C246" s="32"/>
      <c r="D246" s="32"/>
      <c r="E246" s="31"/>
      <c r="F246" s="32"/>
      <c r="G246" s="32"/>
      <c r="H246" s="32"/>
      <c r="I246" s="32"/>
      <c r="J246" s="32"/>
      <c r="K246" s="32"/>
    </row>
    <row r="247" spans="1:11" ht="15" customHeight="1">
      <c r="A247" s="30"/>
      <c r="B247" s="32"/>
      <c r="C247" s="32"/>
      <c r="D247" s="32"/>
      <c r="E247" s="31"/>
      <c r="F247" s="32"/>
      <c r="G247" s="32"/>
      <c r="H247" s="32"/>
      <c r="I247" s="32"/>
      <c r="J247" s="32"/>
      <c r="K247" s="32"/>
    </row>
    <row r="248" spans="1:11" ht="15" customHeight="1">
      <c r="A248" s="30"/>
      <c r="B248" s="32"/>
      <c r="C248" s="32"/>
      <c r="D248" s="32"/>
      <c r="E248" s="31"/>
      <c r="F248" s="32"/>
      <c r="G248" s="32"/>
      <c r="H248" s="32"/>
      <c r="I248" s="32"/>
      <c r="J248" s="32"/>
      <c r="K248" s="32"/>
    </row>
    <row r="249" spans="1:11" ht="15" customHeight="1">
      <c r="A249" s="30"/>
      <c r="B249" s="32"/>
      <c r="C249" s="32"/>
      <c r="D249" s="32"/>
      <c r="E249" s="31"/>
      <c r="F249" s="32"/>
      <c r="G249" s="32"/>
      <c r="H249" s="32"/>
      <c r="I249" s="32"/>
      <c r="J249" s="32"/>
      <c r="K249" s="32"/>
    </row>
    <row r="250" spans="1:11" ht="15" customHeight="1">
      <c r="A250" s="30"/>
      <c r="B250" s="32"/>
      <c r="C250" s="32"/>
      <c r="D250" s="32"/>
      <c r="E250" s="31"/>
      <c r="F250" s="32"/>
      <c r="G250" s="32"/>
      <c r="H250" s="32"/>
      <c r="I250" s="32"/>
      <c r="J250" s="32"/>
      <c r="K250" s="32"/>
    </row>
    <row r="251" spans="1:11" ht="15" customHeight="1">
      <c r="A251" s="30"/>
      <c r="B251" s="32"/>
      <c r="C251" s="32"/>
      <c r="D251" s="32"/>
      <c r="E251" s="31"/>
      <c r="F251" s="32"/>
      <c r="G251" s="32"/>
      <c r="H251" s="32"/>
      <c r="I251" s="32"/>
      <c r="J251" s="32"/>
      <c r="K251" s="32"/>
    </row>
    <row r="252" spans="1:11" ht="15" customHeight="1">
      <c r="A252" s="30"/>
      <c r="B252" s="32"/>
      <c r="C252" s="32"/>
      <c r="D252" s="32"/>
      <c r="E252" s="31"/>
      <c r="F252" s="32"/>
      <c r="G252" s="32"/>
      <c r="H252" s="32"/>
      <c r="I252" s="32"/>
      <c r="J252" s="32"/>
      <c r="K252" s="32"/>
    </row>
    <row r="253" spans="1:11" ht="15" customHeight="1">
      <c r="A253" s="30"/>
      <c r="B253" s="32"/>
      <c r="C253" s="32"/>
      <c r="D253" s="32"/>
      <c r="E253" s="31"/>
      <c r="F253" s="32"/>
      <c r="G253" s="32"/>
      <c r="H253" s="32"/>
      <c r="I253" s="32"/>
      <c r="J253" s="32"/>
      <c r="K253" s="32"/>
    </row>
    <row r="254" spans="1:11" ht="15" customHeight="1">
      <c r="A254" s="30"/>
      <c r="B254" s="32"/>
      <c r="C254" s="32"/>
      <c r="D254" s="32"/>
      <c r="E254" s="31"/>
      <c r="F254" s="32"/>
      <c r="G254" s="32"/>
      <c r="H254" s="32"/>
      <c r="I254" s="32"/>
      <c r="J254" s="32"/>
      <c r="K254" s="32"/>
    </row>
    <row r="255" spans="1:11" ht="15" customHeight="1">
      <c r="A255" s="30"/>
      <c r="B255" s="32"/>
      <c r="C255" s="32"/>
      <c r="D255" s="32"/>
      <c r="E255" s="31"/>
      <c r="F255" s="32"/>
      <c r="G255" s="32"/>
      <c r="H255" s="32"/>
      <c r="I255" s="32"/>
      <c r="J255" s="32"/>
      <c r="K255" s="32"/>
    </row>
    <row r="256" spans="1:11" ht="15" customHeight="1">
      <c r="A256" s="30"/>
      <c r="B256" s="32"/>
      <c r="C256" s="32"/>
      <c r="D256" s="32"/>
      <c r="E256" s="31"/>
      <c r="F256" s="32"/>
      <c r="G256" s="32"/>
      <c r="H256" s="32"/>
      <c r="I256" s="32"/>
      <c r="J256" s="32"/>
      <c r="K256" s="32"/>
    </row>
    <row r="257" spans="1:11" ht="15" customHeight="1">
      <c r="A257" s="30"/>
      <c r="B257" s="32"/>
      <c r="C257" s="32"/>
      <c r="D257" s="32"/>
      <c r="E257" s="31"/>
      <c r="F257" s="32"/>
      <c r="G257" s="32"/>
      <c r="H257" s="32"/>
      <c r="I257" s="32"/>
      <c r="J257" s="32"/>
      <c r="K257" s="32"/>
    </row>
    <row r="258" spans="1:11" ht="15" customHeight="1">
      <c r="A258" s="30"/>
      <c r="B258" s="32"/>
      <c r="C258" s="32"/>
      <c r="D258" s="32"/>
      <c r="E258" s="31"/>
      <c r="F258" s="32"/>
      <c r="G258" s="32"/>
      <c r="H258" s="32"/>
      <c r="I258" s="32"/>
      <c r="J258" s="32"/>
      <c r="K258" s="32"/>
    </row>
    <row r="259" spans="1:11" ht="15" customHeight="1">
      <c r="A259" s="30"/>
      <c r="B259" s="32"/>
      <c r="C259" s="32"/>
      <c r="D259" s="32"/>
      <c r="E259" s="31"/>
      <c r="F259" s="32"/>
      <c r="G259" s="32"/>
      <c r="H259" s="32"/>
      <c r="I259" s="32"/>
      <c r="J259" s="32"/>
      <c r="K259" s="32"/>
    </row>
    <row r="260" spans="1:11" ht="15" customHeight="1">
      <c r="A260" s="30"/>
      <c r="B260" s="32"/>
      <c r="C260" s="32"/>
      <c r="D260" s="32"/>
      <c r="E260" s="31"/>
      <c r="F260" s="32"/>
      <c r="G260" s="32"/>
      <c r="H260" s="32"/>
      <c r="I260" s="32"/>
      <c r="J260" s="32"/>
      <c r="K260" s="32"/>
    </row>
    <row r="261" spans="1:11" ht="15" customHeight="1">
      <c r="A261" s="30"/>
      <c r="B261" s="32"/>
      <c r="C261" s="32"/>
      <c r="D261" s="32"/>
      <c r="E261" s="31"/>
      <c r="F261" s="32"/>
      <c r="G261" s="32"/>
      <c r="H261" s="32"/>
      <c r="I261" s="32"/>
      <c r="J261" s="32"/>
      <c r="K261" s="32"/>
    </row>
    <row r="262" spans="1:11" ht="15" customHeight="1">
      <c r="A262" s="30"/>
      <c r="B262" s="32"/>
      <c r="C262" s="32"/>
      <c r="D262" s="32"/>
      <c r="E262" s="31"/>
      <c r="F262" s="32"/>
      <c r="G262" s="32"/>
      <c r="H262" s="32"/>
      <c r="I262" s="32"/>
      <c r="J262" s="32"/>
      <c r="K262" s="32"/>
    </row>
    <row r="263" spans="1:11" ht="15" customHeight="1">
      <c r="A263" s="30"/>
      <c r="B263" s="32"/>
      <c r="C263" s="32"/>
      <c r="D263" s="32"/>
      <c r="E263" s="31"/>
      <c r="F263" s="32"/>
      <c r="G263" s="32"/>
      <c r="H263" s="32"/>
      <c r="I263" s="32"/>
      <c r="J263" s="32"/>
      <c r="K263" s="32"/>
    </row>
    <row r="264" spans="1:11" ht="15" customHeight="1">
      <c r="A264" s="30"/>
      <c r="B264" s="32"/>
      <c r="C264" s="32"/>
      <c r="D264" s="32"/>
      <c r="E264" s="31"/>
      <c r="F264" s="32"/>
      <c r="G264" s="32"/>
      <c r="H264" s="32"/>
      <c r="I264" s="32"/>
      <c r="J264" s="32"/>
      <c r="K264" s="32"/>
    </row>
    <row r="265" spans="1:11" ht="15" customHeight="1">
      <c r="A265" s="30"/>
      <c r="B265" s="32"/>
      <c r="C265" s="32"/>
      <c r="D265" s="32"/>
      <c r="E265" s="31"/>
      <c r="F265" s="32"/>
      <c r="G265" s="32"/>
      <c r="H265" s="32"/>
      <c r="I265" s="32"/>
      <c r="J265" s="32"/>
      <c r="K265" s="32"/>
    </row>
    <row r="266" spans="1:11" ht="15" customHeight="1">
      <c r="A266" s="30"/>
      <c r="B266" s="32"/>
      <c r="C266" s="32"/>
      <c r="D266" s="32"/>
      <c r="E266" s="31"/>
      <c r="F266" s="32"/>
      <c r="G266" s="32"/>
      <c r="H266" s="32"/>
      <c r="I266" s="32"/>
      <c r="J266" s="32"/>
      <c r="K266" s="32"/>
    </row>
    <row r="267" spans="1:11" ht="15" customHeight="1">
      <c r="A267" s="30"/>
      <c r="B267" s="32"/>
      <c r="C267" s="32"/>
      <c r="D267" s="32"/>
      <c r="E267" s="31"/>
      <c r="F267" s="32"/>
      <c r="G267" s="32"/>
      <c r="H267" s="32"/>
      <c r="I267" s="32"/>
      <c r="J267" s="32"/>
      <c r="K267" s="32"/>
    </row>
    <row r="268" spans="1:11" ht="15" customHeight="1">
      <c r="A268" s="30"/>
      <c r="B268" s="32"/>
      <c r="C268" s="32"/>
      <c r="D268" s="32"/>
      <c r="E268" s="31"/>
      <c r="F268" s="32"/>
      <c r="G268" s="32"/>
      <c r="H268" s="32"/>
      <c r="I268" s="32"/>
      <c r="J268" s="32"/>
      <c r="K268" s="32"/>
    </row>
    <row r="269" spans="1:11" ht="15" customHeight="1">
      <c r="A269" s="30"/>
      <c r="B269" s="32"/>
      <c r="C269" s="32"/>
      <c r="D269" s="32"/>
      <c r="E269" s="31"/>
      <c r="F269" s="32"/>
      <c r="G269" s="32"/>
      <c r="H269" s="32"/>
      <c r="I269" s="32"/>
      <c r="J269" s="32"/>
      <c r="K269" s="32"/>
    </row>
    <row r="270" spans="1:11" ht="15" customHeight="1">
      <c r="A270" s="30"/>
      <c r="B270" s="32"/>
      <c r="C270" s="32"/>
      <c r="D270" s="32"/>
      <c r="E270" s="31"/>
      <c r="F270" s="32"/>
      <c r="G270" s="32"/>
      <c r="H270" s="32"/>
      <c r="I270" s="32"/>
      <c r="J270" s="32"/>
      <c r="K270" s="32"/>
    </row>
    <row r="271" spans="1:11" ht="15" customHeight="1">
      <c r="A271" s="30"/>
      <c r="B271" s="32"/>
      <c r="C271" s="32"/>
      <c r="D271" s="32"/>
      <c r="E271" s="31"/>
      <c r="F271" s="32"/>
      <c r="G271" s="32"/>
      <c r="H271" s="32"/>
      <c r="I271" s="32"/>
      <c r="J271" s="32"/>
      <c r="K271" s="32"/>
    </row>
    <row r="272" spans="1:11" ht="15" customHeight="1">
      <c r="A272" s="30"/>
      <c r="B272" s="32"/>
      <c r="C272" s="32"/>
      <c r="D272" s="32"/>
      <c r="E272" s="31"/>
      <c r="F272" s="32"/>
      <c r="G272" s="32"/>
      <c r="H272" s="32"/>
      <c r="I272" s="32"/>
      <c r="J272" s="32"/>
      <c r="K272" s="32"/>
    </row>
    <row r="273" spans="1:11" ht="15" customHeight="1">
      <c r="A273" s="30"/>
      <c r="B273" s="32"/>
      <c r="C273" s="32"/>
      <c r="D273" s="32"/>
      <c r="E273" s="31"/>
      <c r="F273" s="32"/>
      <c r="G273" s="32"/>
      <c r="H273" s="32"/>
      <c r="I273" s="32"/>
      <c r="J273" s="32"/>
      <c r="K273" s="32"/>
    </row>
    <row r="274" spans="1:11" ht="15" customHeight="1">
      <c r="A274" s="30"/>
      <c r="B274" s="32"/>
      <c r="C274" s="32"/>
      <c r="D274" s="32"/>
      <c r="E274" s="31"/>
      <c r="F274" s="32"/>
      <c r="G274" s="32"/>
      <c r="H274" s="32"/>
      <c r="I274" s="32"/>
      <c r="J274" s="32"/>
      <c r="K274" s="32"/>
    </row>
    <row r="275" spans="1:11" ht="15" customHeight="1">
      <c r="A275" s="30"/>
      <c r="B275" s="32"/>
      <c r="C275" s="32"/>
      <c r="D275" s="32"/>
      <c r="E275" s="31"/>
      <c r="F275" s="32"/>
      <c r="G275" s="32"/>
      <c r="H275" s="32"/>
      <c r="I275" s="32"/>
      <c r="J275" s="32"/>
      <c r="K275" s="32"/>
    </row>
    <row r="276" spans="1:11" ht="15" customHeight="1">
      <c r="A276" s="30"/>
      <c r="B276" s="32"/>
      <c r="C276" s="32"/>
      <c r="D276" s="32"/>
      <c r="E276" s="31"/>
      <c r="F276" s="32"/>
      <c r="G276" s="32"/>
      <c r="H276" s="32"/>
      <c r="I276" s="32"/>
      <c r="J276" s="32"/>
      <c r="K276" s="32"/>
    </row>
    <row r="277" spans="1:11" ht="15" customHeight="1">
      <c r="A277" s="30"/>
      <c r="B277" s="32"/>
      <c r="C277" s="32"/>
      <c r="D277" s="32"/>
      <c r="E277" s="31"/>
      <c r="F277" s="32"/>
      <c r="G277" s="32"/>
      <c r="H277" s="32"/>
      <c r="I277" s="32"/>
      <c r="J277" s="32"/>
      <c r="K277" s="32"/>
    </row>
    <row r="278" spans="1:11" ht="15" customHeight="1">
      <c r="A278" s="30"/>
      <c r="B278" s="32"/>
      <c r="C278" s="32"/>
      <c r="D278" s="32"/>
      <c r="E278" s="31"/>
      <c r="F278" s="32"/>
      <c r="G278" s="32"/>
      <c r="H278" s="32"/>
      <c r="I278" s="32"/>
      <c r="J278" s="32"/>
      <c r="K278" s="32"/>
    </row>
    <row r="279" spans="1:11" ht="15" customHeight="1">
      <c r="A279" s="30"/>
      <c r="B279" s="32"/>
      <c r="C279" s="32"/>
      <c r="D279" s="32"/>
      <c r="E279" s="31"/>
      <c r="F279" s="32"/>
      <c r="G279" s="32"/>
      <c r="H279" s="32"/>
      <c r="I279" s="32"/>
      <c r="J279" s="32"/>
      <c r="K279" s="32"/>
    </row>
    <row r="280" spans="1:11" ht="15" customHeight="1">
      <c r="A280" s="30"/>
      <c r="B280" s="32"/>
      <c r="C280" s="32"/>
      <c r="D280" s="32"/>
      <c r="E280" s="31"/>
      <c r="F280" s="32"/>
      <c r="G280" s="32"/>
      <c r="H280" s="32"/>
      <c r="I280" s="32"/>
      <c r="J280" s="32"/>
      <c r="K280" s="32"/>
    </row>
    <row r="281" spans="1:11" ht="15" customHeight="1">
      <c r="A281" s="30"/>
      <c r="B281" s="32"/>
      <c r="C281" s="32"/>
      <c r="D281" s="32"/>
      <c r="E281" s="31"/>
      <c r="F281" s="32"/>
      <c r="G281" s="32"/>
      <c r="H281" s="32"/>
      <c r="I281" s="32"/>
      <c r="J281" s="32"/>
      <c r="K281" s="32"/>
    </row>
    <row r="282" spans="1:11" ht="15" customHeight="1">
      <c r="A282" s="30"/>
      <c r="B282" s="32"/>
      <c r="C282" s="32"/>
      <c r="D282" s="32"/>
      <c r="E282" s="31"/>
      <c r="F282" s="32"/>
      <c r="G282" s="32"/>
      <c r="H282" s="32"/>
      <c r="I282" s="32"/>
      <c r="J282" s="32"/>
      <c r="K282" s="32"/>
    </row>
    <row r="283" spans="1:11" ht="15" customHeight="1">
      <c r="A283" s="30"/>
      <c r="B283" s="32"/>
      <c r="C283" s="32"/>
      <c r="D283" s="32"/>
      <c r="E283" s="31"/>
      <c r="F283" s="32"/>
      <c r="G283" s="32"/>
      <c r="H283" s="32"/>
      <c r="I283" s="32"/>
      <c r="J283" s="32"/>
      <c r="K283" s="32"/>
    </row>
    <row r="284" spans="1:11" ht="15" customHeight="1">
      <c r="A284" s="30"/>
      <c r="B284" s="32"/>
      <c r="C284" s="32"/>
      <c r="D284" s="32"/>
      <c r="E284" s="31"/>
      <c r="F284" s="32"/>
      <c r="G284" s="32"/>
      <c r="H284" s="32"/>
      <c r="I284" s="32"/>
      <c r="J284" s="32"/>
      <c r="K284" s="32"/>
    </row>
    <row r="285" spans="1:11" ht="15" customHeight="1">
      <c r="A285" s="30"/>
      <c r="B285" s="32"/>
      <c r="C285" s="32"/>
      <c r="D285" s="32"/>
      <c r="E285" s="31"/>
      <c r="F285" s="32"/>
      <c r="G285" s="32"/>
      <c r="H285" s="32"/>
      <c r="I285" s="32"/>
      <c r="J285" s="32"/>
      <c r="K285" s="32"/>
    </row>
    <row r="286" spans="1:11" ht="15" customHeight="1">
      <c r="A286" s="30"/>
      <c r="B286" s="32"/>
      <c r="C286" s="32"/>
      <c r="D286" s="32"/>
      <c r="E286" s="31"/>
      <c r="F286" s="32"/>
      <c r="G286" s="32"/>
      <c r="H286" s="32"/>
      <c r="I286" s="32"/>
      <c r="J286" s="32"/>
      <c r="K286" s="32"/>
    </row>
    <row r="287" spans="1:11" ht="15" customHeight="1">
      <c r="A287" s="30"/>
      <c r="B287" s="32"/>
      <c r="C287" s="32"/>
      <c r="D287" s="32"/>
      <c r="E287" s="31"/>
      <c r="F287" s="32"/>
      <c r="G287" s="32"/>
      <c r="H287" s="32"/>
      <c r="I287" s="32"/>
      <c r="J287" s="32"/>
      <c r="K287" s="32"/>
    </row>
    <row r="288" spans="1:11" ht="15" customHeight="1">
      <c r="A288" s="30"/>
      <c r="B288" s="32"/>
      <c r="C288" s="32"/>
      <c r="D288" s="32"/>
      <c r="E288" s="31"/>
      <c r="F288" s="32"/>
      <c r="G288" s="32"/>
      <c r="H288" s="32"/>
      <c r="I288" s="32"/>
      <c r="J288" s="32"/>
      <c r="K288" s="32"/>
    </row>
    <row r="289" spans="1:11" ht="15" customHeight="1">
      <c r="A289" s="30"/>
      <c r="B289" s="32"/>
      <c r="C289" s="32"/>
      <c r="D289" s="32"/>
      <c r="E289" s="31"/>
      <c r="F289" s="32"/>
      <c r="G289" s="32"/>
      <c r="H289" s="32"/>
      <c r="I289" s="32"/>
      <c r="J289" s="32"/>
      <c r="K289" s="32"/>
    </row>
    <row r="290" spans="1:11" ht="15" customHeight="1">
      <c r="A290" s="30"/>
      <c r="B290" s="32"/>
      <c r="C290" s="32"/>
      <c r="D290" s="32"/>
      <c r="E290" s="31"/>
      <c r="F290" s="32"/>
      <c r="G290" s="32"/>
      <c r="H290" s="32"/>
      <c r="I290" s="32"/>
      <c r="J290" s="32"/>
      <c r="K290" s="32"/>
    </row>
    <row r="291" spans="1:11" ht="15" customHeight="1">
      <c r="A291" s="30"/>
      <c r="B291" s="32"/>
      <c r="C291" s="32"/>
      <c r="D291" s="32"/>
      <c r="E291" s="31"/>
      <c r="F291" s="32"/>
      <c r="G291" s="32"/>
      <c r="H291" s="32"/>
      <c r="I291" s="32"/>
      <c r="J291" s="32"/>
      <c r="K291" s="32"/>
    </row>
    <row r="292" spans="1:11" ht="15" customHeight="1">
      <c r="A292" s="30"/>
      <c r="B292" s="32"/>
      <c r="C292" s="32"/>
      <c r="D292" s="32"/>
      <c r="E292" s="31"/>
      <c r="F292" s="32"/>
      <c r="G292" s="32"/>
      <c r="H292" s="32"/>
      <c r="I292" s="32"/>
      <c r="J292" s="32"/>
      <c r="K292" s="32"/>
    </row>
    <row r="293" spans="1:11" ht="15" customHeight="1">
      <c r="A293" s="30"/>
      <c r="B293" s="32"/>
      <c r="C293" s="32"/>
      <c r="D293" s="32"/>
      <c r="E293" s="31"/>
      <c r="F293" s="32"/>
      <c r="G293" s="32"/>
      <c r="H293" s="32"/>
      <c r="I293" s="32"/>
      <c r="J293" s="32"/>
      <c r="K293" s="32"/>
    </row>
    <row r="294" spans="1:11" ht="15" customHeight="1">
      <c r="A294" s="30"/>
      <c r="B294" s="32"/>
      <c r="C294" s="32"/>
      <c r="D294" s="32"/>
      <c r="E294" s="31"/>
      <c r="F294" s="32"/>
      <c r="G294" s="32"/>
      <c r="H294" s="32"/>
      <c r="I294" s="32"/>
      <c r="J294" s="32"/>
      <c r="K294" s="32"/>
    </row>
    <row r="295" spans="1:11" ht="15" customHeight="1">
      <c r="A295" s="30"/>
      <c r="B295" s="32"/>
      <c r="C295" s="32"/>
      <c r="D295" s="32"/>
      <c r="E295" s="31"/>
      <c r="F295" s="32"/>
      <c r="G295" s="32"/>
      <c r="H295" s="32"/>
      <c r="I295" s="32"/>
      <c r="J295" s="32"/>
      <c r="K295" s="32"/>
    </row>
    <row r="296" spans="1:11" ht="15" customHeight="1">
      <c r="A296" s="30"/>
      <c r="B296" s="32"/>
      <c r="C296" s="32"/>
      <c r="D296" s="32"/>
      <c r="E296" s="31"/>
      <c r="F296" s="32"/>
      <c r="G296" s="32"/>
      <c r="H296" s="32"/>
      <c r="I296" s="32"/>
      <c r="J296" s="32"/>
      <c r="K296" s="32"/>
    </row>
    <row r="297" spans="1:11" ht="15" customHeight="1">
      <c r="A297" s="30"/>
      <c r="B297" s="32"/>
      <c r="C297" s="32"/>
      <c r="D297" s="32"/>
      <c r="E297" s="31"/>
      <c r="F297" s="32"/>
      <c r="G297" s="32"/>
      <c r="H297" s="32"/>
      <c r="I297" s="32"/>
      <c r="J297" s="32"/>
      <c r="K297" s="32"/>
    </row>
    <row r="298" spans="1:11" ht="15" customHeight="1">
      <c r="A298" s="30"/>
      <c r="B298" s="32"/>
      <c r="C298" s="32"/>
      <c r="D298" s="32"/>
      <c r="E298" s="31"/>
      <c r="F298" s="32"/>
      <c r="G298" s="32"/>
      <c r="H298" s="32"/>
      <c r="I298" s="32"/>
      <c r="J298" s="32"/>
      <c r="K298" s="32"/>
    </row>
    <row r="299" spans="1:11" ht="15" customHeight="1">
      <c r="A299" s="30"/>
      <c r="B299" s="32"/>
      <c r="C299" s="32"/>
      <c r="D299" s="32"/>
      <c r="E299" s="31"/>
      <c r="F299" s="32"/>
      <c r="G299" s="32"/>
      <c r="H299" s="32"/>
      <c r="I299" s="32"/>
      <c r="J299" s="32"/>
      <c r="K299" s="32"/>
    </row>
    <row r="300" spans="1:11" ht="15" customHeight="1">
      <c r="A300" s="30"/>
      <c r="B300" s="32"/>
      <c r="C300" s="32"/>
      <c r="D300" s="32"/>
      <c r="E300" s="31"/>
      <c r="F300" s="32"/>
      <c r="G300" s="32"/>
      <c r="H300" s="32"/>
      <c r="I300" s="32"/>
      <c r="J300" s="32"/>
      <c r="K300" s="32"/>
    </row>
  </sheetData>
  <autoFilter ref="A1:K300" xr:uid="{00000000-0009-0000-0000-000002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입력 오류" error="코드표에 등록된 값만 입력할 수 있습니다." xr:uid="{00000000-0002-0000-0200-000000000000}">
          <x14:formula1>
            <xm:f>코드표!$A$2:$A$5</xm:f>
          </x14:formula1>
          <x14:formula2>
            <xm:f>0</xm:f>
          </x14:formula2>
          <xm:sqref>C2:C300</xm:sqref>
        </x14:dataValidation>
        <x14:dataValidation type="list" allowBlank="1" errorTitle="입력 오류" error="코드표에 등록된 값만 입력할 수 있습니다." xr:uid="{00000000-0002-0000-0200-000001000000}">
          <x14:formula1>
            <xm:f>코드표!$B$2:$B$7</xm:f>
          </x14:formula1>
          <x14:formula2>
            <xm:f>0</xm:f>
          </x14:formula2>
          <xm:sqref>E2:E300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6" customWidth="1"/>
    <col min="3" max="4" width="10" customWidth="1"/>
    <col min="5" max="5" width="30" customWidth="1"/>
    <col min="6" max="6" width="8" customWidth="1"/>
    <col min="7" max="7" width="6" customWidth="1"/>
    <col min="8" max="8" width="9" customWidth="1"/>
    <col min="9" max="9" width="10" customWidth="1"/>
    <col min="10" max="10" width="30" customWidth="1"/>
  </cols>
  <sheetData>
    <row r="1" spans="1:10" ht="30" customHeight="1">
      <c r="A1" s="28" t="s">
        <v>175</v>
      </c>
      <c r="B1" s="28" t="s">
        <v>302</v>
      </c>
      <c r="C1" s="28" t="s">
        <v>303</v>
      </c>
      <c r="D1" s="28" t="s">
        <v>196</v>
      </c>
      <c r="E1" s="28" t="s">
        <v>197</v>
      </c>
      <c r="F1" s="28" t="s">
        <v>304</v>
      </c>
      <c r="G1" s="28" t="s">
        <v>202</v>
      </c>
      <c r="H1" s="28" t="s">
        <v>305</v>
      </c>
      <c r="I1" s="28" t="s">
        <v>306</v>
      </c>
      <c r="J1" s="28" t="s">
        <v>183</v>
      </c>
    </row>
    <row r="2" spans="1:10" ht="15" customHeight="1">
      <c r="A2" s="30" t="s">
        <v>184</v>
      </c>
      <c r="B2" s="32">
        <v>1</v>
      </c>
      <c r="C2" s="32"/>
      <c r="D2" s="30" t="s">
        <v>207</v>
      </c>
      <c r="E2" s="33" t="str">
        <f>IF(D2="","",IFERROR(INDEX(품목마스터!$B$2:$B$300,MATCH(D2,품목마스터!$A$2:$A$300,0)),"※미등록"))</f>
        <v>커버 어셈블리</v>
      </c>
      <c r="F2" s="32">
        <v>1</v>
      </c>
      <c r="G2" s="33" t="str">
        <f>IF(D2="","",IFERROR(INDEX(품목마스터!$G$2:$G$300,MATCH(D2,품목마스터!$A$2:$A$300,0)),"※미등록"))</f>
        <v>SET</v>
      </c>
      <c r="H2" s="31" t="s">
        <v>307</v>
      </c>
      <c r="I2" s="32"/>
      <c r="J2" s="31" t="s">
        <v>308</v>
      </c>
    </row>
    <row r="3" spans="1:10" ht="15" customHeight="1">
      <c r="A3" s="30" t="s">
        <v>184</v>
      </c>
      <c r="B3" s="32">
        <v>2</v>
      </c>
      <c r="C3" s="32" t="s">
        <v>207</v>
      </c>
      <c r="D3" s="30" t="s">
        <v>215</v>
      </c>
      <c r="E3" s="33" t="str">
        <f>IF(D3="","",IFERROR(INDEX(품목마스터!$B$2:$B$300,MATCH(D3,품목마스터!$A$2:$A$300,0)),"※미등록"))</f>
        <v>커버1 (상판)</v>
      </c>
      <c r="F3" s="32">
        <v>1</v>
      </c>
      <c r="G3" s="33" t="str">
        <f>IF(D3="","",IFERROR(INDEX(품목마스터!$G$2:$G$300,MATCH(D3,품목마스터!$A$2:$A$300,0)),"※미등록"))</f>
        <v>EA</v>
      </c>
      <c r="H3" s="31" t="s">
        <v>307</v>
      </c>
      <c r="I3" s="32"/>
      <c r="J3" s="32"/>
    </row>
    <row r="4" spans="1:10" ht="15" customHeight="1">
      <c r="A4" s="30" t="s">
        <v>184</v>
      </c>
      <c r="B4" s="32">
        <v>2</v>
      </c>
      <c r="C4" s="32" t="s">
        <v>207</v>
      </c>
      <c r="D4" s="30" t="s">
        <v>220</v>
      </c>
      <c r="E4" s="33" t="str">
        <f>IF(D4="","",IFERROR(INDEX(품목마스터!$B$2:$B$300,MATCH(D4,품목마스터!$A$2:$A$300,0)),"※미등록"))</f>
        <v>커버2 (하판)</v>
      </c>
      <c r="F4" s="32">
        <v>1</v>
      </c>
      <c r="G4" s="33" t="str">
        <f>IF(D4="","",IFERROR(INDEX(품목마스터!$G$2:$G$300,MATCH(D4,품목마스터!$A$2:$A$300,0)),"※미등록"))</f>
        <v>EA</v>
      </c>
      <c r="H4" s="31" t="s">
        <v>307</v>
      </c>
      <c r="I4" s="32"/>
      <c r="J4" s="32"/>
    </row>
    <row r="5" spans="1:10" ht="15" customHeight="1">
      <c r="A5" s="30" t="s">
        <v>184</v>
      </c>
      <c r="B5" s="32">
        <v>2</v>
      </c>
      <c r="C5" s="32" t="s">
        <v>207</v>
      </c>
      <c r="D5" s="30" t="s">
        <v>225</v>
      </c>
      <c r="E5" s="33" t="str">
        <f>IF(D5="","",IFERROR(INDEX(품목마스터!$B$2:$B$300,MATCH(D5,품목마스터!$A$2:$A$300,0)),"※미등록"))</f>
        <v>폼</v>
      </c>
      <c r="F5" s="32">
        <v>1</v>
      </c>
      <c r="G5" s="33" t="str">
        <f>IF(D5="","",IFERROR(INDEX(품목마스터!$G$2:$G$300,MATCH(D5,품목마스터!$A$2:$A$300,0)),"※미등록"))</f>
        <v>EA</v>
      </c>
      <c r="H5" s="31" t="s">
        <v>307</v>
      </c>
      <c r="I5" s="32"/>
      <c r="J5" s="32"/>
    </row>
    <row r="6" spans="1:10" ht="15" customHeight="1">
      <c r="A6" s="30" t="s">
        <v>184</v>
      </c>
      <c r="B6" s="32">
        <v>2</v>
      </c>
      <c r="C6" s="32" t="s">
        <v>207</v>
      </c>
      <c r="D6" s="30" t="s">
        <v>228</v>
      </c>
      <c r="E6" s="33" t="str">
        <f>IF(D6="","",IFERROR(INDEX(품목마스터!$B$2:$B$300,MATCH(D6,품목마스터!$A$2:$A$300,0)),"※미등록"))</f>
        <v>로우라벨 (법정표시)</v>
      </c>
      <c r="F6" s="32">
        <v>1</v>
      </c>
      <c r="G6" s="33" t="str">
        <f>IF(D6="","",IFERROR(INDEX(품목마스터!$G$2:$G$300,MATCH(D6,품목마스터!$A$2:$A$300,0)),"※미등록"))</f>
        <v>EA</v>
      </c>
      <c r="H6" s="31" t="s">
        <v>307</v>
      </c>
      <c r="I6" s="32"/>
      <c r="J6" s="32"/>
    </row>
    <row r="7" spans="1:10" ht="15" customHeight="1">
      <c r="A7" s="30" t="s">
        <v>184</v>
      </c>
      <c r="B7" s="32">
        <v>2</v>
      </c>
      <c r="C7" s="32" t="s">
        <v>207</v>
      </c>
      <c r="D7" s="30" t="s">
        <v>232</v>
      </c>
      <c r="E7" s="33" t="str">
        <f>IF(D7="","",IFERROR(INDEX(품목마스터!$B$2:$B$300,MATCH(D7,품목마스터!$A$2:$A$300,0)),"※미등록"))</f>
        <v>로고라벨</v>
      </c>
      <c r="F7" s="32">
        <v>1</v>
      </c>
      <c r="G7" s="33" t="str">
        <f>IF(D7="","",IFERROR(INDEX(품목마스터!$G$2:$G$300,MATCH(D7,품목마스터!$A$2:$A$300,0)),"※미등록"))</f>
        <v>EA</v>
      </c>
      <c r="H7" s="31" t="s">
        <v>307</v>
      </c>
      <c r="I7" s="32"/>
      <c r="J7" s="32"/>
    </row>
    <row r="8" spans="1:10" ht="15" customHeight="1">
      <c r="A8" s="30" t="s">
        <v>184</v>
      </c>
      <c r="B8" s="32">
        <v>1</v>
      </c>
      <c r="C8" s="32"/>
      <c r="D8" s="30" t="s">
        <v>234</v>
      </c>
      <c r="E8" s="33" t="str">
        <f>IF(D8="","",IFERROR(INDEX(품목마스터!$B$2:$B$300,MATCH(D8,품목마스터!$A$2:$A$300,0)),"※미등록"))</f>
        <v>컨트롤러 어셈블리</v>
      </c>
      <c r="F8" s="32">
        <v>1</v>
      </c>
      <c r="G8" s="33" t="str">
        <f>IF(D8="","",IFERROR(INDEX(품목마스터!$G$2:$G$300,MATCH(D8,품목마스터!$A$2:$A$300,0)),"※미등록"))</f>
        <v>SET</v>
      </c>
      <c r="H8" s="31" t="s">
        <v>307</v>
      </c>
      <c r="I8" s="32"/>
      <c r="J8" s="32"/>
    </row>
    <row r="9" spans="1:10" ht="15" customHeight="1">
      <c r="A9" s="30" t="s">
        <v>184</v>
      </c>
      <c r="B9" s="32">
        <v>2</v>
      </c>
      <c r="C9" s="32" t="s">
        <v>234</v>
      </c>
      <c r="D9" s="30" t="s">
        <v>238</v>
      </c>
      <c r="E9" s="33" t="str">
        <f>IF(D9="","",IFERROR(INDEX(품목마스터!$B$2:$B$300,MATCH(D9,품목마스터!$A$2:$A$300,0)),"※미등록"))</f>
        <v>컨트롤러 아세이 (윈도우커버라벨 포함)</v>
      </c>
      <c r="F9" s="32">
        <v>1</v>
      </c>
      <c r="G9" s="33" t="str">
        <f>IF(D9="","",IFERROR(INDEX(품목마스터!$G$2:$G$300,MATCH(D9,품목마스터!$A$2:$A$300,0)),"※미등록"))</f>
        <v>EA</v>
      </c>
      <c r="H9" s="31" t="s">
        <v>307</v>
      </c>
      <c r="I9" s="32"/>
      <c r="J9" s="32"/>
    </row>
    <row r="10" spans="1:10" ht="15" customHeight="1">
      <c r="A10" s="30" t="s">
        <v>184</v>
      </c>
      <c r="B10" s="32">
        <v>2</v>
      </c>
      <c r="C10" s="32" t="s">
        <v>234</v>
      </c>
      <c r="D10" s="30" t="s">
        <v>243</v>
      </c>
      <c r="E10" s="33" t="str">
        <f>IF(D10="","",IFERROR(INDEX(품목마스터!$B$2:$B$300,MATCH(D10,품목마스터!$A$2:$A$300,0)),"※미등록"))</f>
        <v>어댑터</v>
      </c>
      <c r="F10" s="32">
        <v>1</v>
      </c>
      <c r="G10" s="33" t="str">
        <f>IF(D10="","",IFERROR(INDEX(품목마스터!$G$2:$G$300,MATCH(D10,품목마스터!$A$2:$A$300,0)),"※미등록"))</f>
        <v>EA</v>
      </c>
      <c r="H10" s="31" t="s">
        <v>307</v>
      </c>
      <c r="I10" s="32"/>
      <c r="J10" s="32"/>
    </row>
    <row r="11" spans="1:10" ht="15" customHeight="1">
      <c r="A11" s="30" t="s">
        <v>184</v>
      </c>
      <c r="B11" s="32">
        <v>2</v>
      </c>
      <c r="C11" s="32" t="s">
        <v>234</v>
      </c>
      <c r="D11" s="30" t="s">
        <v>247</v>
      </c>
      <c r="E11" s="33" t="str">
        <f>IF(D11="","",IFERROR(INDEX(품목마스터!$B$2:$B$300,MATCH(D11,품목마스터!$A$2:$A$300,0)),"※미등록"))</f>
        <v>에어호스</v>
      </c>
      <c r="F11" s="32">
        <v>2</v>
      </c>
      <c r="G11" s="33" t="str">
        <f>IF(D11="","",IFERROR(INDEX(품목마스터!$G$2:$G$300,MATCH(D11,품목마스터!$A$2:$A$300,0)),"※미등록"))</f>
        <v>EA</v>
      </c>
      <c r="H11" s="31" t="s">
        <v>307</v>
      </c>
      <c r="I11" s="32"/>
      <c r="J11" s="31" t="s">
        <v>309</v>
      </c>
    </row>
    <row r="12" spans="1:10" ht="15" customHeight="1">
      <c r="A12" s="30" t="s">
        <v>184</v>
      </c>
      <c r="B12" s="32">
        <v>2</v>
      </c>
      <c r="C12" s="32" t="s">
        <v>234</v>
      </c>
      <c r="D12" s="30" t="s">
        <v>251</v>
      </c>
      <c r="E12" s="33" t="str">
        <f>IF(D12="","",IFERROR(INDEX(품목마스터!$B$2:$B$300,MATCH(D12,품목마스터!$A$2:$A$300,0)),"※미등록"))</f>
        <v>매뉴얼</v>
      </c>
      <c r="F12" s="32">
        <v>1</v>
      </c>
      <c r="G12" s="33" t="str">
        <f>IF(D12="","",IFERROR(INDEX(품목마스터!$G$2:$G$300,MATCH(D12,품목마스터!$A$2:$A$300,0)),"※미등록"))</f>
        <v>EA</v>
      </c>
      <c r="H12" s="31" t="s">
        <v>307</v>
      </c>
      <c r="I12" s="32"/>
      <c r="J12" s="32"/>
    </row>
    <row r="13" spans="1:10" ht="15" customHeight="1">
      <c r="A13" s="30" t="s">
        <v>184</v>
      </c>
      <c r="B13" s="32">
        <v>2</v>
      </c>
      <c r="C13" s="32" t="s">
        <v>234</v>
      </c>
      <c r="D13" s="30" t="s">
        <v>255</v>
      </c>
      <c r="E13" s="33" t="str">
        <f>IF(D13="","",IFERROR(INDEX(품목마스터!$B$2:$B$300,MATCH(D13,품목마스터!$A$2:$A$300,0)),"※미등록"))</f>
        <v>IoT Stick</v>
      </c>
      <c r="F13" s="32">
        <v>1</v>
      </c>
      <c r="G13" s="33" t="str">
        <f>IF(D13="","",IFERROR(INDEX(품목마스터!$G$2:$G$300,MATCH(D13,품목마스터!$A$2:$A$300,0)),"※미등록"))</f>
        <v>EA</v>
      </c>
      <c r="H13" s="31" t="s">
        <v>310</v>
      </c>
      <c r="I13" s="32"/>
      <c r="J13" s="32" t="s">
        <v>311</v>
      </c>
    </row>
    <row r="14" spans="1:10" ht="15" customHeight="1">
      <c r="A14" s="30" t="s">
        <v>184</v>
      </c>
      <c r="B14" s="32">
        <v>2</v>
      </c>
      <c r="C14" s="32" t="s">
        <v>234</v>
      </c>
      <c r="D14" s="30" t="s">
        <v>260</v>
      </c>
      <c r="E14" s="33" t="str">
        <f>IF(D14="","",IFERROR(INDEX(품목마스터!$B$2:$B$300,MATCH(D14,품목마스터!$A$2:$A$300,0)),"※미등록"))</f>
        <v>컨트롤러 포장박스</v>
      </c>
      <c r="F14" s="32">
        <v>1</v>
      </c>
      <c r="G14" s="33" t="str">
        <f>IF(D14="","",IFERROR(INDEX(품목마스터!$G$2:$G$300,MATCH(D14,품목마스터!$A$2:$A$300,0)),"※미등록"))</f>
        <v>EA</v>
      </c>
      <c r="H14" s="31" t="s">
        <v>307</v>
      </c>
      <c r="I14" s="32"/>
      <c r="J14" s="32"/>
    </row>
    <row r="15" spans="1:10" ht="15" customHeight="1">
      <c r="A15" s="30" t="s">
        <v>184</v>
      </c>
      <c r="B15" s="32">
        <v>1</v>
      </c>
      <c r="C15" s="32"/>
      <c r="D15" s="30" t="s">
        <v>263</v>
      </c>
      <c r="E15" s="33" t="str">
        <f>IF(D15="","",IFERROR(INDEX(품목마스터!$B$2:$B$300,MATCH(D15,품목마스터!$A$2:$A$300,0)),"※미등록"))</f>
        <v>완제품 포장 어셈블리</v>
      </c>
      <c r="F15" s="32">
        <v>1</v>
      </c>
      <c r="G15" s="33" t="str">
        <f>IF(D15="","",IFERROR(INDEX(품목마스터!$G$2:$G$300,MATCH(D15,품목마스터!$A$2:$A$300,0)),"※미등록"))</f>
        <v>SET</v>
      </c>
      <c r="H15" s="31" t="s">
        <v>307</v>
      </c>
      <c r="I15" s="32"/>
      <c r="J15" s="32"/>
    </row>
    <row r="16" spans="1:10" ht="15" customHeight="1">
      <c r="A16" s="30" t="s">
        <v>184</v>
      </c>
      <c r="B16" s="32">
        <v>2</v>
      </c>
      <c r="C16" s="32" t="s">
        <v>263</v>
      </c>
      <c r="D16" s="30" t="s">
        <v>267</v>
      </c>
      <c r="E16" s="33" t="str">
        <f>IF(D16="","",IFERROR(INDEX(품목마스터!$B$2:$B$300,MATCH(D16,품목마스터!$A$2:$A$300,0)),"※미등록"))</f>
        <v>포장방식 A</v>
      </c>
      <c r="F16" s="32">
        <v>1</v>
      </c>
      <c r="G16" s="33" t="str">
        <f>IF(D16="","",IFERROR(INDEX(품목마스터!$G$2:$G$300,MATCH(D16,품목마스터!$A$2:$A$300,0)),"※미등록"))</f>
        <v>-</v>
      </c>
      <c r="H16" s="31" t="s">
        <v>307</v>
      </c>
      <c r="I16" s="32" t="s">
        <v>272</v>
      </c>
      <c r="J16" s="31" t="s">
        <v>312</v>
      </c>
    </row>
    <row r="17" spans="1:10" ht="15" customHeight="1">
      <c r="A17" s="30" t="s">
        <v>184</v>
      </c>
      <c r="B17" s="32">
        <v>2</v>
      </c>
      <c r="C17" s="32" t="s">
        <v>263</v>
      </c>
      <c r="D17" s="30" t="s">
        <v>277</v>
      </c>
      <c r="E17" s="33" t="str">
        <f>IF(D17="","",IFERROR(INDEX(품목마스터!$B$2:$B$300,MATCH(D17,품목마스터!$A$2:$A$300,0)),"※미등록"))</f>
        <v>완제품 포장박스</v>
      </c>
      <c r="F17" s="32">
        <v>1</v>
      </c>
      <c r="G17" s="33" t="str">
        <f>IF(D17="","",IFERROR(INDEX(품목마스터!$G$2:$G$300,MATCH(D17,품목마스터!$A$2:$A$300,0)),"※미등록"))</f>
        <v>EA</v>
      </c>
      <c r="H17" s="31" t="s">
        <v>307</v>
      </c>
      <c r="I17" s="32"/>
      <c r="J17" s="32"/>
    </row>
    <row r="18" spans="1:10" ht="15" customHeight="1">
      <c r="A18" s="30" t="s">
        <v>184</v>
      </c>
      <c r="B18" s="32">
        <v>2</v>
      </c>
      <c r="C18" s="32" t="s">
        <v>263</v>
      </c>
      <c r="D18" s="30" t="s">
        <v>281</v>
      </c>
      <c r="E18" s="33" t="str">
        <f>IF(D18="","",IFERROR(INDEX(품목마스터!$B$2:$B$300,MATCH(D18,품목마스터!$A$2:$A$300,0)),"※미등록"))</f>
        <v>포장비닐</v>
      </c>
      <c r="F18" s="32">
        <v>1</v>
      </c>
      <c r="G18" s="33" t="str">
        <f>IF(D18="","",IFERROR(INDEX(품목마스터!$G$2:$G$300,MATCH(D18,품목마스터!$A$2:$A$300,0)),"※미등록"))</f>
        <v>EA</v>
      </c>
      <c r="H18" s="31" t="s">
        <v>307</v>
      </c>
      <c r="I18" s="32"/>
      <c r="J18" s="32"/>
    </row>
    <row r="19" spans="1:10" ht="15" customHeight="1">
      <c r="A19" s="30" t="s">
        <v>184</v>
      </c>
      <c r="B19" s="32">
        <v>1</v>
      </c>
      <c r="C19" s="32"/>
      <c r="D19" s="30" t="s">
        <v>284</v>
      </c>
      <c r="E19" s="33" t="str">
        <f>IF(D19="","",IFERROR(INDEX(품목마스터!$B$2:$B$300,MATCH(D19,품목마스터!$A$2:$A$300,0)),"※미등록"))</f>
        <v>APP/서버 세트</v>
      </c>
      <c r="F19" s="32">
        <v>1</v>
      </c>
      <c r="G19" s="33" t="str">
        <f>IF(D19="","",IFERROR(INDEX(품목마스터!$G$2:$G$300,MATCH(D19,품목마스터!$A$2:$A$300,0)),"※미등록"))</f>
        <v>SET</v>
      </c>
      <c r="H19" s="31" t="s">
        <v>307</v>
      </c>
      <c r="I19" s="32"/>
      <c r="J19" s="32"/>
    </row>
    <row r="20" spans="1:10" ht="15" customHeight="1">
      <c r="A20" s="30" t="s">
        <v>184</v>
      </c>
      <c r="B20" s="32">
        <v>2</v>
      </c>
      <c r="C20" s="32" t="s">
        <v>284</v>
      </c>
      <c r="D20" s="30" t="s">
        <v>288</v>
      </c>
      <c r="E20" s="33" t="str">
        <f>IF(D20="","",IFERROR(INDEX(품목마스터!$B$2:$B$300,MATCH(D20,품목마스터!$A$2:$A$300,0)),"※미등록"))</f>
        <v>Android 앱</v>
      </c>
      <c r="F20" s="32">
        <v>1</v>
      </c>
      <c r="G20" s="33" t="str">
        <f>IF(D20="","",IFERROR(INDEX(품목마스터!$G$2:$G$300,MATCH(D20,품목마스터!$A$2:$A$300,0)),"※미등록"))</f>
        <v>-</v>
      </c>
      <c r="H20" s="31" t="s">
        <v>307</v>
      </c>
      <c r="I20" s="32"/>
      <c r="J20" s="32"/>
    </row>
    <row r="21" spans="1:10" ht="15" customHeight="1">
      <c r="A21" s="30" t="s">
        <v>184</v>
      </c>
      <c r="B21" s="32">
        <v>2</v>
      </c>
      <c r="C21" s="32" t="s">
        <v>284</v>
      </c>
      <c r="D21" s="30" t="s">
        <v>294</v>
      </c>
      <c r="E21" s="33" t="str">
        <f>IF(D21="","",IFERROR(INDEX(품목마스터!$B$2:$B$300,MATCH(D21,품목마스터!$A$2:$A$300,0)),"※미등록"))</f>
        <v>iOS 앱</v>
      </c>
      <c r="F21" s="32">
        <v>1</v>
      </c>
      <c r="G21" s="33" t="str">
        <f>IF(D21="","",IFERROR(INDEX(품목마스터!$G$2:$G$300,MATCH(D21,품목마스터!$A$2:$A$300,0)),"※미등록"))</f>
        <v>-</v>
      </c>
      <c r="H21" s="31" t="s">
        <v>307</v>
      </c>
      <c r="I21" s="32"/>
      <c r="J21" s="32"/>
    </row>
    <row r="22" spans="1:10" ht="15" customHeight="1">
      <c r="A22" s="30" t="s">
        <v>184</v>
      </c>
      <c r="B22" s="32">
        <v>2</v>
      </c>
      <c r="C22" s="32" t="s">
        <v>284</v>
      </c>
      <c r="D22" s="30" t="s">
        <v>296</v>
      </c>
      <c r="E22" s="33" t="str">
        <f>IF(D22="","",IFERROR(INDEX(품목마스터!$B$2:$B$300,MATCH(D22,품목마스터!$A$2:$A$300,0)),"※미등록"))</f>
        <v>서버 - KR 리전</v>
      </c>
      <c r="F22" s="32">
        <v>1</v>
      </c>
      <c r="G22" s="33" t="str">
        <f>IF(D22="","",IFERROR(INDEX(품목마스터!$G$2:$G$300,MATCH(D22,품목마스터!$A$2:$A$300,0)),"※미등록"))</f>
        <v>-</v>
      </c>
      <c r="H22" s="31" t="s">
        <v>307</v>
      </c>
      <c r="I22" s="32"/>
      <c r="J22" s="32" t="s">
        <v>313</v>
      </c>
    </row>
    <row r="23" spans="1:10" ht="15" customHeight="1">
      <c r="A23" s="30"/>
      <c r="B23" s="32"/>
      <c r="C23" s="32"/>
      <c r="D23" s="30"/>
      <c r="E23" s="33" t="str">
        <f>IF(D23="","",IFERROR(INDEX(품목마스터!$B$2:$B$300,MATCH(D23,품목마스터!$A$2:$A$300,0)),"※미등록"))</f>
        <v/>
      </c>
      <c r="F23" s="32"/>
      <c r="G23" s="33" t="str">
        <f>IF(D23="","",IFERROR(INDEX(품목마스터!$G$2:$G$300,MATCH(D23,품목마스터!$A$2:$A$300,0)),"※미등록"))</f>
        <v/>
      </c>
      <c r="H23" s="31"/>
      <c r="I23" s="32"/>
      <c r="J23" s="32"/>
    </row>
    <row r="24" spans="1:10" ht="15" customHeight="1">
      <c r="A24" s="30"/>
      <c r="B24" s="32"/>
      <c r="C24" s="32"/>
      <c r="D24" s="30"/>
      <c r="E24" s="33" t="str">
        <f>IF(D24="","",IFERROR(INDEX(품목마스터!$B$2:$B$300,MATCH(D24,품목마스터!$A$2:$A$300,0)),"※미등록"))</f>
        <v/>
      </c>
      <c r="F24" s="32"/>
      <c r="G24" s="33" t="str">
        <f>IF(D24="","",IFERROR(INDEX(품목마스터!$G$2:$G$300,MATCH(D24,품목마스터!$A$2:$A$300,0)),"※미등록"))</f>
        <v/>
      </c>
      <c r="H24" s="31"/>
      <c r="I24" s="32"/>
      <c r="J24" s="32"/>
    </row>
    <row r="25" spans="1:10" ht="15" customHeight="1">
      <c r="A25" s="30"/>
      <c r="B25" s="32"/>
      <c r="C25" s="32"/>
      <c r="D25" s="30"/>
      <c r="E25" s="33" t="str">
        <f>IF(D25="","",IFERROR(INDEX(품목마스터!$B$2:$B$300,MATCH(D25,품목마스터!$A$2:$A$300,0)),"※미등록"))</f>
        <v/>
      </c>
      <c r="F25" s="32"/>
      <c r="G25" s="33" t="str">
        <f>IF(D25="","",IFERROR(INDEX(품목마스터!$G$2:$G$300,MATCH(D25,품목마스터!$A$2:$A$300,0)),"※미등록"))</f>
        <v/>
      </c>
      <c r="H25" s="31"/>
      <c r="I25" s="32"/>
      <c r="J25" s="32"/>
    </row>
    <row r="26" spans="1:10" ht="15" customHeight="1">
      <c r="A26" s="30"/>
      <c r="B26" s="32"/>
      <c r="C26" s="32"/>
      <c r="D26" s="30"/>
      <c r="E26" s="33" t="str">
        <f>IF(D26="","",IFERROR(INDEX(품목마스터!$B$2:$B$300,MATCH(D26,품목마스터!$A$2:$A$300,0)),"※미등록"))</f>
        <v/>
      </c>
      <c r="F26" s="32"/>
      <c r="G26" s="33" t="str">
        <f>IF(D26="","",IFERROR(INDEX(품목마스터!$G$2:$G$300,MATCH(D26,품목마스터!$A$2:$A$300,0)),"※미등록"))</f>
        <v/>
      </c>
      <c r="H26" s="31"/>
      <c r="I26" s="32"/>
      <c r="J26" s="32"/>
    </row>
    <row r="27" spans="1:10" ht="15" customHeight="1">
      <c r="A27" s="30"/>
      <c r="B27" s="32"/>
      <c r="C27" s="32"/>
      <c r="D27" s="30"/>
      <c r="E27" s="33" t="str">
        <f>IF(D27="","",IFERROR(INDEX(품목마스터!$B$2:$B$300,MATCH(D27,품목마스터!$A$2:$A$300,0)),"※미등록"))</f>
        <v/>
      </c>
      <c r="F27" s="32"/>
      <c r="G27" s="33" t="str">
        <f>IF(D27="","",IFERROR(INDEX(품목마스터!$G$2:$G$300,MATCH(D27,품목마스터!$A$2:$A$300,0)),"※미등록"))</f>
        <v/>
      </c>
      <c r="H27" s="31"/>
      <c r="I27" s="32"/>
      <c r="J27" s="32"/>
    </row>
    <row r="28" spans="1:10" ht="15" customHeight="1">
      <c r="A28" s="30"/>
      <c r="B28" s="32"/>
      <c r="C28" s="32"/>
      <c r="D28" s="30"/>
      <c r="E28" s="33" t="str">
        <f>IF(D28="","",IFERROR(INDEX(품목마스터!$B$2:$B$300,MATCH(D28,품목마스터!$A$2:$A$300,0)),"※미등록"))</f>
        <v/>
      </c>
      <c r="F28" s="32"/>
      <c r="G28" s="33" t="str">
        <f>IF(D28="","",IFERROR(INDEX(품목마스터!$G$2:$G$300,MATCH(D28,품목마스터!$A$2:$A$300,0)),"※미등록"))</f>
        <v/>
      </c>
      <c r="H28" s="31"/>
      <c r="I28" s="32"/>
      <c r="J28" s="32"/>
    </row>
    <row r="29" spans="1:10" ht="15" customHeight="1">
      <c r="A29" s="30"/>
      <c r="B29" s="32"/>
      <c r="C29" s="32"/>
      <c r="D29" s="30"/>
      <c r="E29" s="33" t="str">
        <f>IF(D29="","",IFERROR(INDEX(품목마스터!$B$2:$B$300,MATCH(D29,품목마스터!$A$2:$A$300,0)),"※미등록"))</f>
        <v/>
      </c>
      <c r="F29" s="32"/>
      <c r="G29" s="33" t="str">
        <f>IF(D29="","",IFERROR(INDEX(품목마스터!$G$2:$G$300,MATCH(D29,품목마스터!$A$2:$A$300,0)),"※미등록"))</f>
        <v/>
      </c>
      <c r="H29" s="31"/>
      <c r="I29" s="32"/>
      <c r="J29" s="32"/>
    </row>
    <row r="30" spans="1:10" ht="15" customHeight="1">
      <c r="A30" s="30"/>
      <c r="B30" s="32"/>
      <c r="C30" s="32"/>
      <c r="D30" s="30"/>
      <c r="E30" s="33" t="str">
        <f>IF(D30="","",IFERROR(INDEX(품목마스터!$B$2:$B$300,MATCH(D30,품목마스터!$A$2:$A$300,0)),"※미등록"))</f>
        <v/>
      </c>
      <c r="F30" s="32"/>
      <c r="G30" s="33" t="str">
        <f>IF(D30="","",IFERROR(INDEX(품목마스터!$G$2:$G$300,MATCH(D30,품목마스터!$A$2:$A$300,0)),"※미등록"))</f>
        <v/>
      </c>
      <c r="H30" s="31"/>
      <c r="I30" s="32"/>
      <c r="J30" s="32"/>
    </row>
    <row r="31" spans="1:10" ht="15" customHeight="1">
      <c r="A31" s="30"/>
      <c r="B31" s="32"/>
      <c r="C31" s="32"/>
      <c r="D31" s="30"/>
      <c r="E31" s="33" t="str">
        <f>IF(D31="","",IFERROR(INDEX(품목마스터!$B$2:$B$300,MATCH(D31,품목마스터!$A$2:$A$300,0)),"※미등록"))</f>
        <v/>
      </c>
      <c r="F31" s="32"/>
      <c r="G31" s="33" t="str">
        <f>IF(D31="","",IFERROR(INDEX(품목마스터!$G$2:$G$300,MATCH(D31,품목마스터!$A$2:$A$300,0)),"※미등록"))</f>
        <v/>
      </c>
      <c r="H31" s="31"/>
      <c r="I31" s="32"/>
      <c r="J31" s="32"/>
    </row>
    <row r="32" spans="1:10" ht="15" customHeight="1">
      <c r="A32" s="30"/>
      <c r="B32" s="32"/>
      <c r="C32" s="32"/>
      <c r="D32" s="30"/>
      <c r="E32" s="33" t="str">
        <f>IF(D32="","",IFERROR(INDEX(품목마스터!$B$2:$B$300,MATCH(D32,품목마스터!$A$2:$A$300,0)),"※미등록"))</f>
        <v/>
      </c>
      <c r="F32" s="32"/>
      <c r="G32" s="33" t="str">
        <f>IF(D32="","",IFERROR(INDEX(품목마스터!$G$2:$G$300,MATCH(D32,품목마스터!$A$2:$A$300,0)),"※미등록"))</f>
        <v/>
      </c>
      <c r="H32" s="31"/>
      <c r="I32" s="32"/>
      <c r="J32" s="32"/>
    </row>
    <row r="33" spans="1:10" ht="15" customHeight="1">
      <c r="A33" s="30"/>
      <c r="B33" s="32"/>
      <c r="C33" s="32"/>
      <c r="D33" s="30"/>
      <c r="E33" s="33" t="str">
        <f>IF(D33="","",IFERROR(INDEX(품목마스터!$B$2:$B$300,MATCH(D33,품목마스터!$A$2:$A$300,0)),"※미등록"))</f>
        <v/>
      </c>
      <c r="F33" s="32"/>
      <c r="G33" s="33" t="str">
        <f>IF(D33="","",IFERROR(INDEX(품목마스터!$G$2:$G$300,MATCH(D33,품목마스터!$A$2:$A$300,0)),"※미등록"))</f>
        <v/>
      </c>
      <c r="H33" s="31"/>
      <c r="I33" s="32"/>
      <c r="J33" s="32"/>
    </row>
    <row r="34" spans="1:10" ht="15" customHeight="1">
      <c r="A34" s="30"/>
      <c r="B34" s="32"/>
      <c r="C34" s="32"/>
      <c r="D34" s="30"/>
      <c r="E34" s="33" t="str">
        <f>IF(D34="","",IFERROR(INDEX(품목마스터!$B$2:$B$300,MATCH(D34,품목마스터!$A$2:$A$300,0)),"※미등록"))</f>
        <v/>
      </c>
      <c r="F34" s="32"/>
      <c r="G34" s="33" t="str">
        <f>IF(D34="","",IFERROR(INDEX(품목마스터!$G$2:$G$300,MATCH(D34,품목마스터!$A$2:$A$300,0)),"※미등록"))</f>
        <v/>
      </c>
      <c r="H34" s="31"/>
      <c r="I34" s="32"/>
      <c r="J34" s="32"/>
    </row>
    <row r="35" spans="1:10" ht="15" customHeight="1">
      <c r="A35" s="30"/>
      <c r="B35" s="32"/>
      <c r="C35" s="32"/>
      <c r="D35" s="30"/>
      <c r="E35" s="33" t="str">
        <f>IF(D35="","",IFERROR(INDEX(품목마스터!$B$2:$B$300,MATCH(D35,품목마스터!$A$2:$A$300,0)),"※미등록"))</f>
        <v/>
      </c>
      <c r="F35" s="32"/>
      <c r="G35" s="33" t="str">
        <f>IF(D35="","",IFERROR(INDEX(품목마스터!$G$2:$G$300,MATCH(D35,품목마스터!$A$2:$A$300,0)),"※미등록"))</f>
        <v/>
      </c>
      <c r="H35" s="31"/>
      <c r="I35" s="32"/>
      <c r="J35" s="32"/>
    </row>
    <row r="36" spans="1:10" ht="15" customHeight="1">
      <c r="A36" s="30"/>
      <c r="B36" s="32"/>
      <c r="C36" s="32"/>
      <c r="D36" s="30"/>
      <c r="E36" s="33" t="str">
        <f>IF(D36="","",IFERROR(INDEX(품목마스터!$B$2:$B$300,MATCH(D36,품목마스터!$A$2:$A$300,0)),"※미등록"))</f>
        <v/>
      </c>
      <c r="F36" s="32"/>
      <c r="G36" s="33" t="str">
        <f>IF(D36="","",IFERROR(INDEX(품목마스터!$G$2:$G$300,MATCH(D36,품목마스터!$A$2:$A$300,0)),"※미등록"))</f>
        <v/>
      </c>
      <c r="H36" s="31"/>
      <c r="I36" s="32"/>
      <c r="J36" s="32"/>
    </row>
    <row r="37" spans="1:10" ht="15" customHeight="1">
      <c r="A37" s="30"/>
      <c r="B37" s="32"/>
      <c r="C37" s="32"/>
      <c r="D37" s="30"/>
      <c r="E37" s="33" t="str">
        <f>IF(D37="","",IFERROR(INDEX(품목마스터!$B$2:$B$300,MATCH(D37,품목마스터!$A$2:$A$300,0)),"※미등록"))</f>
        <v/>
      </c>
      <c r="F37" s="32"/>
      <c r="G37" s="33" t="str">
        <f>IF(D37="","",IFERROR(INDEX(품목마스터!$G$2:$G$300,MATCH(D37,품목마스터!$A$2:$A$300,0)),"※미등록"))</f>
        <v/>
      </c>
      <c r="H37" s="31"/>
      <c r="I37" s="32"/>
      <c r="J37" s="32"/>
    </row>
    <row r="38" spans="1:10" ht="15" customHeight="1">
      <c r="A38" s="30"/>
      <c r="B38" s="32"/>
      <c r="C38" s="32"/>
      <c r="D38" s="30"/>
      <c r="E38" s="33" t="str">
        <f>IF(D38="","",IFERROR(INDEX(품목마스터!$B$2:$B$300,MATCH(D38,품목마스터!$A$2:$A$300,0)),"※미등록"))</f>
        <v/>
      </c>
      <c r="F38" s="32"/>
      <c r="G38" s="33" t="str">
        <f>IF(D38="","",IFERROR(INDEX(품목마스터!$G$2:$G$300,MATCH(D38,품목마스터!$A$2:$A$300,0)),"※미등록"))</f>
        <v/>
      </c>
      <c r="H38" s="31"/>
      <c r="I38" s="32"/>
      <c r="J38" s="32"/>
    </row>
    <row r="39" spans="1:10" ht="15" customHeight="1">
      <c r="A39" s="30"/>
      <c r="B39" s="32"/>
      <c r="C39" s="32"/>
      <c r="D39" s="30"/>
      <c r="E39" s="33" t="str">
        <f>IF(D39="","",IFERROR(INDEX(품목마스터!$B$2:$B$300,MATCH(D39,품목마스터!$A$2:$A$300,0)),"※미등록"))</f>
        <v/>
      </c>
      <c r="F39" s="32"/>
      <c r="G39" s="33" t="str">
        <f>IF(D39="","",IFERROR(INDEX(품목마스터!$G$2:$G$300,MATCH(D39,품목마스터!$A$2:$A$300,0)),"※미등록"))</f>
        <v/>
      </c>
      <c r="H39" s="31"/>
      <c r="I39" s="32"/>
      <c r="J39" s="32"/>
    </row>
    <row r="40" spans="1:10" ht="15" customHeight="1">
      <c r="A40" s="30"/>
      <c r="B40" s="32"/>
      <c r="C40" s="32"/>
      <c r="D40" s="30"/>
      <c r="E40" s="33" t="str">
        <f>IF(D40="","",IFERROR(INDEX(품목마스터!$B$2:$B$300,MATCH(D40,품목마스터!$A$2:$A$300,0)),"※미등록"))</f>
        <v/>
      </c>
      <c r="F40" s="32"/>
      <c r="G40" s="33" t="str">
        <f>IF(D40="","",IFERROR(INDEX(품목마스터!$G$2:$G$300,MATCH(D40,품목마스터!$A$2:$A$300,0)),"※미등록"))</f>
        <v/>
      </c>
      <c r="H40" s="31"/>
      <c r="I40" s="32"/>
      <c r="J40" s="32"/>
    </row>
    <row r="41" spans="1:10" ht="15" customHeight="1">
      <c r="A41" s="30"/>
      <c r="B41" s="32"/>
      <c r="C41" s="32"/>
      <c r="D41" s="30"/>
      <c r="E41" s="33" t="str">
        <f>IF(D41="","",IFERROR(INDEX(품목마스터!$B$2:$B$300,MATCH(D41,품목마스터!$A$2:$A$300,0)),"※미등록"))</f>
        <v/>
      </c>
      <c r="F41" s="32"/>
      <c r="G41" s="33" t="str">
        <f>IF(D41="","",IFERROR(INDEX(품목마스터!$G$2:$G$300,MATCH(D41,품목마스터!$A$2:$A$300,0)),"※미등록"))</f>
        <v/>
      </c>
      <c r="H41" s="31"/>
      <c r="I41" s="32"/>
      <c r="J41" s="32"/>
    </row>
    <row r="42" spans="1:10" ht="15" customHeight="1">
      <c r="A42" s="30"/>
      <c r="B42" s="32"/>
      <c r="C42" s="32"/>
      <c r="D42" s="30"/>
      <c r="E42" s="33" t="str">
        <f>IF(D42="","",IFERROR(INDEX(품목마스터!$B$2:$B$300,MATCH(D42,품목마스터!$A$2:$A$300,0)),"※미등록"))</f>
        <v/>
      </c>
      <c r="F42" s="32"/>
      <c r="G42" s="33" t="str">
        <f>IF(D42="","",IFERROR(INDEX(품목마스터!$G$2:$G$300,MATCH(D42,품목마스터!$A$2:$A$300,0)),"※미등록"))</f>
        <v/>
      </c>
      <c r="H42" s="31"/>
      <c r="I42" s="32"/>
      <c r="J42" s="32"/>
    </row>
    <row r="43" spans="1:10" ht="15" customHeight="1">
      <c r="A43" s="30"/>
      <c r="B43" s="32"/>
      <c r="C43" s="32"/>
      <c r="D43" s="30"/>
      <c r="E43" s="33" t="str">
        <f>IF(D43="","",IFERROR(INDEX(품목마스터!$B$2:$B$300,MATCH(D43,품목마스터!$A$2:$A$300,0)),"※미등록"))</f>
        <v/>
      </c>
      <c r="F43" s="32"/>
      <c r="G43" s="33" t="str">
        <f>IF(D43="","",IFERROR(INDEX(품목마스터!$G$2:$G$300,MATCH(D43,품목마스터!$A$2:$A$300,0)),"※미등록"))</f>
        <v/>
      </c>
      <c r="H43" s="31"/>
      <c r="I43" s="32"/>
      <c r="J43" s="32"/>
    </row>
    <row r="44" spans="1:10" ht="15" customHeight="1">
      <c r="A44" s="30"/>
      <c r="B44" s="32"/>
      <c r="C44" s="32"/>
      <c r="D44" s="30"/>
      <c r="E44" s="33" t="str">
        <f>IF(D44="","",IFERROR(INDEX(품목마스터!$B$2:$B$300,MATCH(D44,품목마스터!$A$2:$A$300,0)),"※미등록"))</f>
        <v/>
      </c>
      <c r="F44" s="32"/>
      <c r="G44" s="33" t="str">
        <f>IF(D44="","",IFERROR(INDEX(품목마스터!$G$2:$G$300,MATCH(D44,품목마스터!$A$2:$A$300,0)),"※미등록"))</f>
        <v/>
      </c>
      <c r="H44" s="31"/>
      <c r="I44" s="32"/>
      <c r="J44" s="32"/>
    </row>
    <row r="45" spans="1:10" ht="15" customHeight="1">
      <c r="A45" s="30"/>
      <c r="B45" s="32"/>
      <c r="C45" s="32"/>
      <c r="D45" s="30"/>
      <c r="E45" s="33" t="str">
        <f>IF(D45="","",IFERROR(INDEX(품목마스터!$B$2:$B$300,MATCH(D45,품목마스터!$A$2:$A$300,0)),"※미등록"))</f>
        <v/>
      </c>
      <c r="F45" s="32"/>
      <c r="G45" s="33" t="str">
        <f>IF(D45="","",IFERROR(INDEX(품목마스터!$G$2:$G$300,MATCH(D45,품목마스터!$A$2:$A$300,0)),"※미등록"))</f>
        <v/>
      </c>
      <c r="H45" s="31"/>
      <c r="I45" s="32"/>
      <c r="J45" s="32"/>
    </row>
    <row r="46" spans="1:10" ht="15" customHeight="1">
      <c r="A46" s="30"/>
      <c r="B46" s="32"/>
      <c r="C46" s="32"/>
      <c r="D46" s="30"/>
      <c r="E46" s="33" t="str">
        <f>IF(D46="","",IFERROR(INDEX(품목마스터!$B$2:$B$300,MATCH(D46,품목마스터!$A$2:$A$300,0)),"※미등록"))</f>
        <v/>
      </c>
      <c r="F46" s="32"/>
      <c r="G46" s="33" t="str">
        <f>IF(D46="","",IFERROR(INDEX(품목마스터!$G$2:$G$300,MATCH(D46,품목마스터!$A$2:$A$300,0)),"※미등록"))</f>
        <v/>
      </c>
      <c r="H46" s="31"/>
      <c r="I46" s="32"/>
      <c r="J46" s="32"/>
    </row>
    <row r="47" spans="1:10" ht="15" customHeight="1">
      <c r="A47" s="30"/>
      <c r="B47" s="32"/>
      <c r="C47" s="32"/>
      <c r="D47" s="30"/>
      <c r="E47" s="33" t="str">
        <f>IF(D47="","",IFERROR(INDEX(품목마스터!$B$2:$B$300,MATCH(D47,품목마스터!$A$2:$A$300,0)),"※미등록"))</f>
        <v/>
      </c>
      <c r="F47" s="32"/>
      <c r="G47" s="33" t="str">
        <f>IF(D47="","",IFERROR(INDEX(품목마스터!$G$2:$G$300,MATCH(D47,품목마스터!$A$2:$A$300,0)),"※미등록"))</f>
        <v/>
      </c>
      <c r="H47" s="31"/>
      <c r="I47" s="32"/>
      <c r="J47" s="32"/>
    </row>
    <row r="48" spans="1:10" ht="15" customHeight="1">
      <c r="A48" s="30"/>
      <c r="B48" s="32"/>
      <c r="C48" s="32"/>
      <c r="D48" s="30"/>
      <c r="E48" s="33" t="str">
        <f>IF(D48="","",IFERROR(INDEX(품목마스터!$B$2:$B$300,MATCH(D48,품목마스터!$A$2:$A$300,0)),"※미등록"))</f>
        <v/>
      </c>
      <c r="F48" s="32"/>
      <c r="G48" s="33" t="str">
        <f>IF(D48="","",IFERROR(INDEX(품목마스터!$G$2:$G$300,MATCH(D48,품목마스터!$A$2:$A$300,0)),"※미등록"))</f>
        <v/>
      </c>
      <c r="H48" s="31"/>
      <c r="I48" s="32"/>
      <c r="J48" s="32"/>
    </row>
    <row r="49" spans="1:10" ht="15" customHeight="1">
      <c r="A49" s="30"/>
      <c r="B49" s="32"/>
      <c r="C49" s="32"/>
      <c r="D49" s="30"/>
      <c r="E49" s="33" t="str">
        <f>IF(D49="","",IFERROR(INDEX(품목마스터!$B$2:$B$300,MATCH(D49,품목마스터!$A$2:$A$300,0)),"※미등록"))</f>
        <v/>
      </c>
      <c r="F49" s="32"/>
      <c r="G49" s="33" t="str">
        <f>IF(D49="","",IFERROR(INDEX(품목마스터!$G$2:$G$300,MATCH(D49,품목마스터!$A$2:$A$300,0)),"※미등록"))</f>
        <v/>
      </c>
      <c r="H49" s="31"/>
      <c r="I49" s="32"/>
      <c r="J49" s="32"/>
    </row>
    <row r="50" spans="1:10" ht="15" customHeight="1">
      <c r="A50" s="30"/>
      <c r="B50" s="32"/>
      <c r="C50" s="32"/>
      <c r="D50" s="30"/>
      <c r="E50" s="33" t="str">
        <f>IF(D50="","",IFERROR(INDEX(품목마스터!$B$2:$B$300,MATCH(D50,품목마스터!$A$2:$A$300,0)),"※미등록"))</f>
        <v/>
      </c>
      <c r="F50" s="32"/>
      <c r="G50" s="33" t="str">
        <f>IF(D50="","",IFERROR(INDEX(품목마스터!$G$2:$G$300,MATCH(D50,품목마스터!$A$2:$A$300,0)),"※미등록"))</f>
        <v/>
      </c>
      <c r="H50" s="31"/>
      <c r="I50" s="32"/>
      <c r="J50" s="32"/>
    </row>
    <row r="51" spans="1:10" ht="15" customHeight="1">
      <c r="A51" s="30"/>
      <c r="B51" s="32"/>
      <c r="C51" s="32"/>
      <c r="D51" s="30"/>
      <c r="E51" s="33" t="str">
        <f>IF(D51="","",IFERROR(INDEX(품목마스터!$B$2:$B$300,MATCH(D51,품목마스터!$A$2:$A$300,0)),"※미등록"))</f>
        <v/>
      </c>
      <c r="F51" s="32"/>
      <c r="G51" s="33" t="str">
        <f>IF(D51="","",IFERROR(INDEX(품목마스터!$G$2:$G$300,MATCH(D51,품목마스터!$A$2:$A$300,0)),"※미등록"))</f>
        <v/>
      </c>
      <c r="H51" s="31"/>
      <c r="I51" s="32"/>
      <c r="J51" s="32"/>
    </row>
    <row r="52" spans="1:10" ht="15" customHeight="1">
      <c r="A52" s="30"/>
      <c r="B52" s="32"/>
      <c r="C52" s="32"/>
      <c r="D52" s="30"/>
      <c r="E52" s="33" t="str">
        <f>IF(D52="","",IFERROR(INDEX(품목마스터!$B$2:$B$300,MATCH(D52,품목마스터!$A$2:$A$300,0)),"※미등록"))</f>
        <v/>
      </c>
      <c r="F52" s="32"/>
      <c r="G52" s="33" t="str">
        <f>IF(D52="","",IFERROR(INDEX(품목마스터!$G$2:$G$300,MATCH(D52,품목마스터!$A$2:$A$300,0)),"※미등록"))</f>
        <v/>
      </c>
      <c r="H52" s="31"/>
      <c r="I52" s="32"/>
      <c r="J52" s="32"/>
    </row>
    <row r="53" spans="1:10" ht="15" customHeight="1">
      <c r="A53" s="30"/>
      <c r="B53" s="32"/>
      <c r="C53" s="32"/>
      <c r="D53" s="30"/>
      <c r="E53" s="33" t="str">
        <f>IF(D53="","",IFERROR(INDEX(품목마스터!$B$2:$B$300,MATCH(D53,품목마스터!$A$2:$A$300,0)),"※미등록"))</f>
        <v/>
      </c>
      <c r="F53" s="32"/>
      <c r="G53" s="33" t="str">
        <f>IF(D53="","",IFERROR(INDEX(품목마스터!$G$2:$G$300,MATCH(D53,품목마스터!$A$2:$A$300,0)),"※미등록"))</f>
        <v/>
      </c>
      <c r="H53" s="31"/>
      <c r="I53" s="32"/>
      <c r="J53" s="32"/>
    </row>
    <row r="54" spans="1:10" ht="15" customHeight="1">
      <c r="A54" s="30"/>
      <c r="B54" s="32"/>
      <c r="C54" s="32"/>
      <c r="D54" s="30"/>
      <c r="E54" s="33" t="str">
        <f>IF(D54="","",IFERROR(INDEX(품목마스터!$B$2:$B$300,MATCH(D54,품목마스터!$A$2:$A$300,0)),"※미등록"))</f>
        <v/>
      </c>
      <c r="F54" s="32"/>
      <c r="G54" s="33" t="str">
        <f>IF(D54="","",IFERROR(INDEX(품목마스터!$G$2:$G$300,MATCH(D54,품목마스터!$A$2:$A$300,0)),"※미등록"))</f>
        <v/>
      </c>
      <c r="H54" s="31"/>
      <c r="I54" s="32"/>
      <c r="J54" s="32"/>
    </row>
    <row r="55" spans="1:10" ht="15" customHeight="1">
      <c r="A55" s="30"/>
      <c r="B55" s="32"/>
      <c r="C55" s="32"/>
      <c r="D55" s="30"/>
      <c r="E55" s="33" t="str">
        <f>IF(D55="","",IFERROR(INDEX(품목마스터!$B$2:$B$300,MATCH(D55,품목마스터!$A$2:$A$300,0)),"※미등록"))</f>
        <v/>
      </c>
      <c r="F55" s="32"/>
      <c r="G55" s="33" t="str">
        <f>IF(D55="","",IFERROR(INDEX(품목마스터!$G$2:$G$300,MATCH(D55,품목마스터!$A$2:$A$300,0)),"※미등록"))</f>
        <v/>
      </c>
      <c r="H55" s="31"/>
      <c r="I55" s="32"/>
      <c r="J55" s="32"/>
    </row>
    <row r="56" spans="1:10" ht="15" customHeight="1">
      <c r="A56" s="30"/>
      <c r="B56" s="32"/>
      <c r="C56" s="32"/>
      <c r="D56" s="30"/>
      <c r="E56" s="33" t="str">
        <f>IF(D56="","",IFERROR(INDEX(품목마스터!$B$2:$B$300,MATCH(D56,품목마스터!$A$2:$A$300,0)),"※미등록"))</f>
        <v/>
      </c>
      <c r="F56" s="32"/>
      <c r="G56" s="33" t="str">
        <f>IF(D56="","",IFERROR(INDEX(품목마스터!$G$2:$G$300,MATCH(D56,품목마스터!$A$2:$A$300,0)),"※미등록"))</f>
        <v/>
      </c>
      <c r="H56" s="31"/>
      <c r="I56" s="32"/>
      <c r="J56" s="32"/>
    </row>
    <row r="57" spans="1:10" ht="15" customHeight="1">
      <c r="A57" s="30"/>
      <c r="B57" s="32"/>
      <c r="C57" s="32"/>
      <c r="D57" s="30"/>
      <c r="E57" s="33" t="str">
        <f>IF(D57="","",IFERROR(INDEX(품목마스터!$B$2:$B$300,MATCH(D57,품목마스터!$A$2:$A$300,0)),"※미등록"))</f>
        <v/>
      </c>
      <c r="F57" s="32"/>
      <c r="G57" s="33" t="str">
        <f>IF(D57="","",IFERROR(INDEX(품목마스터!$G$2:$G$300,MATCH(D57,품목마스터!$A$2:$A$300,0)),"※미등록"))</f>
        <v/>
      </c>
      <c r="H57" s="31"/>
      <c r="I57" s="32"/>
      <c r="J57" s="32"/>
    </row>
    <row r="58" spans="1:10" ht="15" customHeight="1">
      <c r="A58" s="30"/>
      <c r="B58" s="32"/>
      <c r="C58" s="32"/>
      <c r="D58" s="30"/>
      <c r="E58" s="33" t="str">
        <f>IF(D58="","",IFERROR(INDEX(품목마스터!$B$2:$B$300,MATCH(D58,품목마스터!$A$2:$A$300,0)),"※미등록"))</f>
        <v/>
      </c>
      <c r="F58" s="32"/>
      <c r="G58" s="33" t="str">
        <f>IF(D58="","",IFERROR(INDEX(품목마스터!$G$2:$G$300,MATCH(D58,품목마스터!$A$2:$A$300,0)),"※미등록"))</f>
        <v/>
      </c>
      <c r="H58" s="31"/>
      <c r="I58" s="32"/>
      <c r="J58" s="32"/>
    </row>
    <row r="59" spans="1:10" ht="15" customHeight="1">
      <c r="A59" s="30"/>
      <c r="B59" s="32"/>
      <c r="C59" s="32"/>
      <c r="D59" s="30"/>
      <c r="E59" s="33" t="str">
        <f>IF(D59="","",IFERROR(INDEX(품목마스터!$B$2:$B$300,MATCH(D59,품목마스터!$A$2:$A$300,0)),"※미등록"))</f>
        <v/>
      </c>
      <c r="F59" s="32"/>
      <c r="G59" s="33" t="str">
        <f>IF(D59="","",IFERROR(INDEX(품목마스터!$G$2:$G$300,MATCH(D59,품목마스터!$A$2:$A$300,0)),"※미등록"))</f>
        <v/>
      </c>
      <c r="H59" s="31"/>
      <c r="I59" s="32"/>
      <c r="J59" s="32"/>
    </row>
    <row r="60" spans="1:10" ht="15" customHeight="1">
      <c r="A60" s="30"/>
      <c r="B60" s="32"/>
      <c r="C60" s="32"/>
      <c r="D60" s="30"/>
      <c r="E60" s="33" t="str">
        <f>IF(D60="","",IFERROR(INDEX(품목마스터!$B$2:$B$300,MATCH(D60,품목마스터!$A$2:$A$300,0)),"※미등록"))</f>
        <v/>
      </c>
      <c r="F60" s="32"/>
      <c r="G60" s="33" t="str">
        <f>IF(D60="","",IFERROR(INDEX(품목마스터!$G$2:$G$300,MATCH(D60,품목마스터!$A$2:$A$300,0)),"※미등록"))</f>
        <v/>
      </c>
      <c r="H60" s="31"/>
      <c r="I60" s="32"/>
      <c r="J60" s="32"/>
    </row>
    <row r="61" spans="1:10" ht="15" customHeight="1">
      <c r="A61" s="30"/>
      <c r="B61" s="32"/>
      <c r="C61" s="32"/>
      <c r="D61" s="30"/>
      <c r="E61" s="33" t="str">
        <f>IF(D61="","",IFERROR(INDEX(품목마스터!$B$2:$B$300,MATCH(D61,품목마스터!$A$2:$A$300,0)),"※미등록"))</f>
        <v/>
      </c>
      <c r="F61" s="32"/>
      <c r="G61" s="33" t="str">
        <f>IF(D61="","",IFERROR(INDEX(품목마스터!$G$2:$G$300,MATCH(D61,품목마스터!$A$2:$A$300,0)),"※미등록"))</f>
        <v/>
      </c>
      <c r="H61" s="31"/>
      <c r="I61" s="32"/>
      <c r="J61" s="32"/>
    </row>
    <row r="62" spans="1:10" ht="15" customHeight="1">
      <c r="A62" s="30"/>
      <c r="B62" s="32"/>
      <c r="C62" s="32"/>
      <c r="D62" s="30"/>
      <c r="E62" s="33" t="str">
        <f>IF(D62="","",IFERROR(INDEX(품목마스터!$B$2:$B$300,MATCH(D62,품목마스터!$A$2:$A$300,0)),"※미등록"))</f>
        <v/>
      </c>
      <c r="F62" s="32"/>
      <c r="G62" s="33" t="str">
        <f>IF(D62="","",IFERROR(INDEX(품목마스터!$G$2:$G$300,MATCH(D62,품목마스터!$A$2:$A$300,0)),"※미등록"))</f>
        <v/>
      </c>
      <c r="H62" s="31"/>
      <c r="I62" s="32"/>
      <c r="J62" s="32"/>
    </row>
    <row r="63" spans="1:10" ht="15" customHeight="1">
      <c r="A63" s="30"/>
      <c r="B63" s="32"/>
      <c r="C63" s="32"/>
      <c r="D63" s="30"/>
      <c r="E63" s="33" t="str">
        <f>IF(D63="","",IFERROR(INDEX(품목마스터!$B$2:$B$300,MATCH(D63,품목마스터!$A$2:$A$300,0)),"※미등록"))</f>
        <v/>
      </c>
      <c r="F63" s="32"/>
      <c r="G63" s="33" t="str">
        <f>IF(D63="","",IFERROR(INDEX(품목마스터!$G$2:$G$300,MATCH(D63,품목마스터!$A$2:$A$300,0)),"※미등록"))</f>
        <v/>
      </c>
      <c r="H63" s="31"/>
      <c r="I63" s="32"/>
      <c r="J63" s="32"/>
    </row>
    <row r="64" spans="1:10" ht="15" customHeight="1">
      <c r="A64" s="30"/>
      <c r="B64" s="32"/>
      <c r="C64" s="32"/>
      <c r="D64" s="30"/>
      <c r="E64" s="33" t="str">
        <f>IF(D64="","",IFERROR(INDEX(품목마스터!$B$2:$B$300,MATCH(D64,품목마스터!$A$2:$A$300,0)),"※미등록"))</f>
        <v/>
      </c>
      <c r="F64" s="32"/>
      <c r="G64" s="33" t="str">
        <f>IF(D64="","",IFERROR(INDEX(품목마스터!$G$2:$G$300,MATCH(D64,품목마스터!$A$2:$A$300,0)),"※미등록"))</f>
        <v/>
      </c>
      <c r="H64" s="31"/>
      <c r="I64" s="32"/>
      <c r="J64" s="32"/>
    </row>
    <row r="65" spans="1:10" ht="15" customHeight="1">
      <c r="A65" s="30"/>
      <c r="B65" s="32"/>
      <c r="C65" s="32"/>
      <c r="D65" s="30"/>
      <c r="E65" s="33" t="str">
        <f>IF(D65="","",IFERROR(INDEX(품목마스터!$B$2:$B$300,MATCH(D65,품목마스터!$A$2:$A$300,0)),"※미등록"))</f>
        <v/>
      </c>
      <c r="F65" s="32"/>
      <c r="G65" s="33" t="str">
        <f>IF(D65="","",IFERROR(INDEX(품목마스터!$G$2:$G$300,MATCH(D65,품목마스터!$A$2:$A$300,0)),"※미등록"))</f>
        <v/>
      </c>
      <c r="H65" s="31"/>
      <c r="I65" s="32"/>
      <c r="J65" s="32"/>
    </row>
    <row r="66" spans="1:10" ht="15" customHeight="1">
      <c r="A66" s="30"/>
      <c r="B66" s="32"/>
      <c r="C66" s="32"/>
      <c r="D66" s="30"/>
      <c r="E66" s="33" t="str">
        <f>IF(D66="","",IFERROR(INDEX(품목마스터!$B$2:$B$300,MATCH(D66,품목마스터!$A$2:$A$300,0)),"※미등록"))</f>
        <v/>
      </c>
      <c r="F66" s="32"/>
      <c r="G66" s="33" t="str">
        <f>IF(D66="","",IFERROR(INDEX(품목마스터!$G$2:$G$300,MATCH(D66,품목마스터!$A$2:$A$300,0)),"※미등록"))</f>
        <v/>
      </c>
      <c r="H66" s="31"/>
      <c r="I66" s="32"/>
      <c r="J66" s="32"/>
    </row>
    <row r="67" spans="1:10" ht="15" customHeight="1">
      <c r="A67" s="30"/>
      <c r="B67" s="32"/>
      <c r="C67" s="32"/>
      <c r="D67" s="30"/>
      <c r="E67" s="33" t="str">
        <f>IF(D67="","",IFERROR(INDEX(품목마스터!$B$2:$B$300,MATCH(D67,품목마스터!$A$2:$A$300,0)),"※미등록"))</f>
        <v/>
      </c>
      <c r="F67" s="32"/>
      <c r="G67" s="33" t="str">
        <f>IF(D67="","",IFERROR(INDEX(품목마스터!$G$2:$G$300,MATCH(D67,품목마스터!$A$2:$A$300,0)),"※미등록"))</f>
        <v/>
      </c>
      <c r="H67" s="31"/>
      <c r="I67" s="32"/>
      <c r="J67" s="32"/>
    </row>
    <row r="68" spans="1:10" ht="15" customHeight="1">
      <c r="A68" s="30"/>
      <c r="B68" s="32"/>
      <c r="C68" s="32"/>
      <c r="D68" s="30"/>
      <c r="E68" s="33" t="str">
        <f>IF(D68="","",IFERROR(INDEX(품목마스터!$B$2:$B$300,MATCH(D68,품목마스터!$A$2:$A$300,0)),"※미등록"))</f>
        <v/>
      </c>
      <c r="F68" s="32"/>
      <c r="G68" s="33" t="str">
        <f>IF(D68="","",IFERROR(INDEX(품목마스터!$G$2:$G$300,MATCH(D68,품목마스터!$A$2:$A$300,0)),"※미등록"))</f>
        <v/>
      </c>
      <c r="H68" s="31"/>
      <c r="I68" s="32"/>
      <c r="J68" s="32"/>
    </row>
    <row r="69" spans="1:10" ht="15" customHeight="1">
      <c r="A69" s="30"/>
      <c r="B69" s="32"/>
      <c r="C69" s="32"/>
      <c r="D69" s="30"/>
      <c r="E69" s="33" t="str">
        <f>IF(D69="","",IFERROR(INDEX(품목마스터!$B$2:$B$300,MATCH(D69,품목마스터!$A$2:$A$300,0)),"※미등록"))</f>
        <v/>
      </c>
      <c r="F69" s="32"/>
      <c r="G69" s="33" t="str">
        <f>IF(D69="","",IFERROR(INDEX(품목마스터!$G$2:$G$300,MATCH(D69,품목마스터!$A$2:$A$300,0)),"※미등록"))</f>
        <v/>
      </c>
      <c r="H69" s="31"/>
      <c r="I69" s="32"/>
      <c r="J69" s="32"/>
    </row>
    <row r="70" spans="1:10" ht="15" customHeight="1">
      <c r="A70" s="30"/>
      <c r="B70" s="32"/>
      <c r="C70" s="32"/>
      <c r="D70" s="30"/>
      <c r="E70" s="33" t="str">
        <f>IF(D70="","",IFERROR(INDEX(품목마스터!$B$2:$B$300,MATCH(D70,품목마스터!$A$2:$A$300,0)),"※미등록"))</f>
        <v/>
      </c>
      <c r="F70" s="32"/>
      <c r="G70" s="33" t="str">
        <f>IF(D70="","",IFERROR(INDEX(품목마스터!$G$2:$G$300,MATCH(D70,품목마스터!$A$2:$A$300,0)),"※미등록"))</f>
        <v/>
      </c>
      <c r="H70" s="31"/>
      <c r="I70" s="32"/>
      <c r="J70" s="32"/>
    </row>
    <row r="71" spans="1:10" ht="15" customHeight="1">
      <c r="A71" s="30"/>
      <c r="B71" s="32"/>
      <c r="C71" s="32"/>
      <c r="D71" s="30"/>
      <c r="E71" s="33" t="str">
        <f>IF(D71="","",IFERROR(INDEX(품목마스터!$B$2:$B$300,MATCH(D71,품목마스터!$A$2:$A$300,0)),"※미등록"))</f>
        <v/>
      </c>
      <c r="F71" s="32"/>
      <c r="G71" s="33" t="str">
        <f>IF(D71="","",IFERROR(INDEX(품목마스터!$G$2:$G$300,MATCH(D71,품목마스터!$A$2:$A$300,0)),"※미등록"))</f>
        <v/>
      </c>
      <c r="H71" s="31"/>
      <c r="I71" s="32"/>
      <c r="J71" s="32"/>
    </row>
    <row r="72" spans="1:10" ht="15" customHeight="1">
      <c r="A72" s="30"/>
      <c r="B72" s="32"/>
      <c r="C72" s="32"/>
      <c r="D72" s="30"/>
      <c r="E72" s="33" t="str">
        <f>IF(D72="","",IFERROR(INDEX(품목마스터!$B$2:$B$300,MATCH(D72,품목마스터!$A$2:$A$300,0)),"※미등록"))</f>
        <v/>
      </c>
      <c r="F72" s="32"/>
      <c r="G72" s="33" t="str">
        <f>IF(D72="","",IFERROR(INDEX(품목마스터!$G$2:$G$300,MATCH(D72,품목마스터!$A$2:$A$300,0)),"※미등록"))</f>
        <v/>
      </c>
      <c r="H72" s="31"/>
      <c r="I72" s="32"/>
      <c r="J72" s="32"/>
    </row>
    <row r="73" spans="1:10" ht="15" customHeight="1">
      <c r="A73" s="30"/>
      <c r="B73" s="32"/>
      <c r="C73" s="32"/>
      <c r="D73" s="30"/>
      <c r="E73" s="33" t="str">
        <f>IF(D73="","",IFERROR(INDEX(품목마스터!$B$2:$B$300,MATCH(D73,품목마스터!$A$2:$A$300,0)),"※미등록"))</f>
        <v/>
      </c>
      <c r="F73" s="32"/>
      <c r="G73" s="33" t="str">
        <f>IF(D73="","",IFERROR(INDEX(품목마스터!$G$2:$G$300,MATCH(D73,품목마스터!$A$2:$A$300,0)),"※미등록"))</f>
        <v/>
      </c>
      <c r="H73" s="31"/>
      <c r="I73" s="32"/>
      <c r="J73" s="32"/>
    </row>
    <row r="74" spans="1:10" ht="15" customHeight="1">
      <c r="A74" s="30"/>
      <c r="B74" s="32"/>
      <c r="C74" s="32"/>
      <c r="D74" s="30"/>
      <c r="E74" s="33" t="str">
        <f>IF(D74="","",IFERROR(INDEX(품목마스터!$B$2:$B$300,MATCH(D74,품목마스터!$A$2:$A$300,0)),"※미등록"))</f>
        <v/>
      </c>
      <c r="F74" s="32"/>
      <c r="G74" s="33" t="str">
        <f>IF(D74="","",IFERROR(INDEX(품목마스터!$G$2:$G$300,MATCH(D74,품목마스터!$A$2:$A$300,0)),"※미등록"))</f>
        <v/>
      </c>
      <c r="H74" s="31"/>
      <c r="I74" s="32"/>
      <c r="J74" s="32"/>
    </row>
    <row r="75" spans="1:10" ht="15" customHeight="1">
      <c r="A75" s="30"/>
      <c r="B75" s="32"/>
      <c r="C75" s="32"/>
      <c r="D75" s="30"/>
      <c r="E75" s="33" t="str">
        <f>IF(D75="","",IFERROR(INDEX(품목마스터!$B$2:$B$300,MATCH(D75,품목마스터!$A$2:$A$300,0)),"※미등록"))</f>
        <v/>
      </c>
      <c r="F75" s="32"/>
      <c r="G75" s="33" t="str">
        <f>IF(D75="","",IFERROR(INDEX(품목마스터!$G$2:$G$300,MATCH(D75,품목마스터!$A$2:$A$300,0)),"※미등록"))</f>
        <v/>
      </c>
      <c r="H75" s="31"/>
      <c r="I75" s="32"/>
      <c r="J75" s="32"/>
    </row>
    <row r="76" spans="1:10" ht="15" customHeight="1">
      <c r="A76" s="30"/>
      <c r="B76" s="32"/>
      <c r="C76" s="32"/>
      <c r="D76" s="30"/>
      <c r="E76" s="33" t="str">
        <f>IF(D76="","",IFERROR(INDEX(품목마스터!$B$2:$B$300,MATCH(D76,품목마스터!$A$2:$A$300,0)),"※미등록"))</f>
        <v/>
      </c>
      <c r="F76" s="32"/>
      <c r="G76" s="33" t="str">
        <f>IF(D76="","",IFERROR(INDEX(품목마스터!$G$2:$G$300,MATCH(D76,품목마스터!$A$2:$A$300,0)),"※미등록"))</f>
        <v/>
      </c>
      <c r="H76" s="31"/>
      <c r="I76" s="32"/>
      <c r="J76" s="32"/>
    </row>
    <row r="77" spans="1:10" ht="15" customHeight="1">
      <c r="A77" s="30"/>
      <c r="B77" s="32"/>
      <c r="C77" s="32"/>
      <c r="D77" s="30"/>
      <c r="E77" s="33" t="str">
        <f>IF(D77="","",IFERROR(INDEX(품목마스터!$B$2:$B$300,MATCH(D77,품목마스터!$A$2:$A$300,0)),"※미등록"))</f>
        <v/>
      </c>
      <c r="F77" s="32"/>
      <c r="G77" s="33" t="str">
        <f>IF(D77="","",IFERROR(INDEX(품목마스터!$G$2:$G$300,MATCH(D77,품목마스터!$A$2:$A$300,0)),"※미등록"))</f>
        <v/>
      </c>
      <c r="H77" s="31"/>
      <c r="I77" s="32"/>
      <c r="J77" s="32"/>
    </row>
    <row r="78" spans="1:10" ht="15" customHeight="1">
      <c r="A78" s="30"/>
      <c r="B78" s="32"/>
      <c r="C78" s="32"/>
      <c r="D78" s="30"/>
      <c r="E78" s="33" t="str">
        <f>IF(D78="","",IFERROR(INDEX(품목마스터!$B$2:$B$300,MATCH(D78,품목마스터!$A$2:$A$300,0)),"※미등록"))</f>
        <v/>
      </c>
      <c r="F78" s="32"/>
      <c r="G78" s="33" t="str">
        <f>IF(D78="","",IFERROR(INDEX(품목마스터!$G$2:$G$300,MATCH(D78,품목마스터!$A$2:$A$300,0)),"※미등록"))</f>
        <v/>
      </c>
      <c r="H78" s="31"/>
      <c r="I78" s="32"/>
      <c r="J78" s="32"/>
    </row>
    <row r="79" spans="1:10" ht="15" customHeight="1">
      <c r="A79" s="30"/>
      <c r="B79" s="32"/>
      <c r="C79" s="32"/>
      <c r="D79" s="30"/>
      <c r="E79" s="33" t="str">
        <f>IF(D79="","",IFERROR(INDEX(품목마스터!$B$2:$B$300,MATCH(D79,품목마스터!$A$2:$A$300,0)),"※미등록"))</f>
        <v/>
      </c>
      <c r="F79" s="32"/>
      <c r="G79" s="33" t="str">
        <f>IF(D79="","",IFERROR(INDEX(품목마스터!$G$2:$G$300,MATCH(D79,품목마스터!$A$2:$A$300,0)),"※미등록"))</f>
        <v/>
      </c>
      <c r="H79" s="31"/>
      <c r="I79" s="32"/>
      <c r="J79" s="32"/>
    </row>
    <row r="80" spans="1:10" ht="15" customHeight="1">
      <c r="A80" s="30"/>
      <c r="B80" s="32"/>
      <c r="C80" s="32"/>
      <c r="D80" s="30"/>
      <c r="E80" s="33" t="str">
        <f>IF(D80="","",IFERROR(INDEX(품목마스터!$B$2:$B$300,MATCH(D80,품목마스터!$A$2:$A$300,0)),"※미등록"))</f>
        <v/>
      </c>
      <c r="F80" s="32"/>
      <c r="G80" s="33" t="str">
        <f>IF(D80="","",IFERROR(INDEX(품목마스터!$G$2:$G$300,MATCH(D80,품목마스터!$A$2:$A$300,0)),"※미등록"))</f>
        <v/>
      </c>
      <c r="H80" s="31"/>
      <c r="I80" s="32"/>
      <c r="J80" s="32"/>
    </row>
    <row r="81" spans="1:10" ht="15" customHeight="1">
      <c r="A81" s="30"/>
      <c r="B81" s="32"/>
      <c r="C81" s="32"/>
      <c r="D81" s="30"/>
      <c r="E81" s="33" t="str">
        <f>IF(D81="","",IFERROR(INDEX(품목마스터!$B$2:$B$300,MATCH(D81,품목마스터!$A$2:$A$300,0)),"※미등록"))</f>
        <v/>
      </c>
      <c r="F81" s="32"/>
      <c r="G81" s="33" t="str">
        <f>IF(D81="","",IFERROR(INDEX(품목마스터!$G$2:$G$300,MATCH(D81,품목마스터!$A$2:$A$300,0)),"※미등록"))</f>
        <v/>
      </c>
      <c r="H81" s="31"/>
      <c r="I81" s="32"/>
      <c r="J81" s="32"/>
    </row>
    <row r="82" spans="1:10" ht="15" customHeight="1">
      <c r="A82" s="30"/>
      <c r="B82" s="32"/>
      <c r="C82" s="32"/>
      <c r="D82" s="30"/>
      <c r="E82" s="33" t="str">
        <f>IF(D82="","",IFERROR(INDEX(품목마스터!$B$2:$B$300,MATCH(D82,품목마스터!$A$2:$A$300,0)),"※미등록"))</f>
        <v/>
      </c>
      <c r="F82" s="32"/>
      <c r="G82" s="33" t="str">
        <f>IF(D82="","",IFERROR(INDEX(품목마스터!$G$2:$G$300,MATCH(D82,품목마스터!$A$2:$A$300,0)),"※미등록"))</f>
        <v/>
      </c>
      <c r="H82" s="31"/>
      <c r="I82" s="32"/>
      <c r="J82" s="32"/>
    </row>
    <row r="83" spans="1:10" ht="15" customHeight="1">
      <c r="A83" s="30"/>
      <c r="B83" s="32"/>
      <c r="C83" s="32"/>
      <c r="D83" s="30"/>
      <c r="E83" s="33" t="str">
        <f>IF(D83="","",IFERROR(INDEX(품목마스터!$B$2:$B$300,MATCH(D83,품목마스터!$A$2:$A$300,0)),"※미등록"))</f>
        <v/>
      </c>
      <c r="F83" s="32"/>
      <c r="G83" s="33" t="str">
        <f>IF(D83="","",IFERROR(INDEX(품목마스터!$G$2:$G$300,MATCH(D83,품목마스터!$A$2:$A$300,0)),"※미등록"))</f>
        <v/>
      </c>
      <c r="H83" s="31"/>
      <c r="I83" s="32"/>
      <c r="J83" s="32"/>
    </row>
    <row r="84" spans="1:10" ht="15" customHeight="1">
      <c r="A84" s="30"/>
      <c r="B84" s="32"/>
      <c r="C84" s="32"/>
      <c r="D84" s="30"/>
      <c r="E84" s="33" t="str">
        <f>IF(D84="","",IFERROR(INDEX(품목마스터!$B$2:$B$300,MATCH(D84,품목마스터!$A$2:$A$300,0)),"※미등록"))</f>
        <v/>
      </c>
      <c r="F84" s="32"/>
      <c r="G84" s="33" t="str">
        <f>IF(D84="","",IFERROR(INDEX(품목마스터!$G$2:$G$300,MATCH(D84,품목마스터!$A$2:$A$300,0)),"※미등록"))</f>
        <v/>
      </c>
      <c r="H84" s="31"/>
      <c r="I84" s="32"/>
      <c r="J84" s="32"/>
    </row>
    <row r="85" spans="1:10" ht="15" customHeight="1">
      <c r="A85" s="30"/>
      <c r="B85" s="32"/>
      <c r="C85" s="32"/>
      <c r="D85" s="30"/>
      <c r="E85" s="33" t="str">
        <f>IF(D85="","",IFERROR(INDEX(품목마스터!$B$2:$B$300,MATCH(D85,품목마스터!$A$2:$A$300,0)),"※미등록"))</f>
        <v/>
      </c>
      <c r="F85" s="32"/>
      <c r="G85" s="33" t="str">
        <f>IF(D85="","",IFERROR(INDEX(품목마스터!$G$2:$G$300,MATCH(D85,품목마스터!$A$2:$A$300,0)),"※미등록"))</f>
        <v/>
      </c>
      <c r="H85" s="31"/>
      <c r="I85" s="32"/>
      <c r="J85" s="32"/>
    </row>
    <row r="86" spans="1:10" ht="15" customHeight="1">
      <c r="A86" s="30"/>
      <c r="B86" s="32"/>
      <c r="C86" s="32"/>
      <c r="D86" s="30"/>
      <c r="E86" s="33" t="str">
        <f>IF(D86="","",IFERROR(INDEX(품목마스터!$B$2:$B$300,MATCH(D86,품목마스터!$A$2:$A$300,0)),"※미등록"))</f>
        <v/>
      </c>
      <c r="F86" s="32"/>
      <c r="G86" s="33" t="str">
        <f>IF(D86="","",IFERROR(INDEX(품목마스터!$G$2:$G$300,MATCH(D86,품목마스터!$A$2:$A$300,0)),"※미등록"))</f>
        <v/>
      </c>
      <c r="H86" s="31"/>
      <c r="I86" s="32"/>
      <c r="J86" s="32"/>
    </row>
    <row r="87" spans="1:10" ht="15" customHeight="1">
      <c r="A87" s="30"/>
      <c r="B87" s="32"/>
      <c r="C87" s="32"/>
      <c r="D87" s="30"/>
      <c r="E87" s="33" t="str">
        <f>IF(D87="","",IFERROR(INDEX(품목마스터!$B$2:$B$300,MATCH(D87,품목마스터!$A$2:$A$300,0)),"※미등록"))</f>
        <v/>
      </c>
      <c r="F87" s="32"/>
      <c r="G87" s="33" t="str">
        <f>IF(D87="","",IFERROR(INDEX(품목마스터!$G$2:$G$300,MATCH(D87,품목마스터!$A$2:$A$300,0)),"※미등록"))</f>
        <v/>
      </c>
      <c r="H87" s="31"/>
      <c r="I87" s="32"/>
      <c r="J87" s="32"/>
    </row>
    <row r="88" spans="1:10" ht="15" customHeight="1">
      <c r="A88" s="30"/>
      <c r="B88" s="32"/>
      <c r="C88" s="32"/>
      <c r="D88" s="30"/>
      <c r="E88" s="33" t="str">
        <f>IF(D88="","",IFERROR(INDEX(품목마스터!$B$2:$B$300,MATCH(D88,품목마스터!$A$2:$A$300,0)),"※미등록"))</f>
        <v/>
      </c>
      <c r="F88" s="32"/>
      <c r="G88" s="33" t="str">
        <f>IF(D88="","",IFERROR(INDEX(품목마스터!$G$2:$G$300,MATCH(D88,품목마스터!$A$2:$A$300,0)),"※미등록"))</f>
        <v/>
      </c>
      <c r="H88" s="31"/>
      <c r="I88" s="32"/>
      <c r="J88" s="32"/>
    </row>
    <row r="89" spans="1:10" ht="15" customHeight="1">
      <c r="A89" s="30"/>
      <c r="B89" s="32"/>
      <c r="C89" s="32"/>
      <c r="D89" s="30"/>
      <c r="E89" s="33" t="str">
        <f>IF(D89="","",IFERROR(INDEX(품목마스터!$B$2:$B$300,MATCH(D89,품목마스터!$A$2:$A$300,0)),"※미등록"))</f>
        <v/>
      </c>
      <c r="F89" s="32"/>
      <c r="G89" s="33" t="str">
        <f>IF(D89="","",IFERROR(INDEX(품목마스터!$G$2:$G$300,MATCH(D89,품목마스터!$A$2:$A$300,0)),"※미등록"))</f>
        <v/>
      </c>
      <c r="H89" s="31"/>
      <c r="I89" s="32"/>
      <c r="J89" s="32"/>
    </row>
    <row r="90" spans="1:10" ht="15" customHeight="1">
      <c r="A90" s="30"/>
      <c r="B90" s="32"/>
      <c r="C90" s="32"/>
      <c r="D90" s="30"/>
      <c r="E90" s="33" t="str">
        <f>IF(D90="","",IFERROR(INDEX(품목마스터!$B$2:$B$300,MATCH(D90,품목마스터!$A$2:$A$300,0)),"※미등록"))</f>
        <v/>
      </c>
      <c r="F90" s="32"/>
      <c r="G90" s="33" t="str">
        <f>IF(D90="","",IFERROR(INDEX(품목마스터!$G$2:$G$300,MATCH(D90,품목마스터!$A$2:$A$300,0)),"※미등록"))</f>
        <v/>
      </c>
      <c r="H90" s="31"/>
      <c r="I90" s="32"/>
      <c r="J90" s="32"/>
    </row>
    <row r="91" spans="1:10" ht="15" customHeight="1">
      <c r="A91" s="30"/>
      <c r="B91" s="32"/>
      <c r="C91" s="32"/>
      <c r="D91" s="30"/>
      <c r="E91" s="33" t="str">
        <f>IF(D91="","",IFERROR(INDEX(품목마스터!$B$2:$B$300,MATCH(D91,품목마스터!$A$2:$A$300,0)),"※미등록"))</f>
        <v/>
      </c>
      <c r="F91" s="32"/>
      <c r="G91" s="33" t="str">
        <f>IF(D91="","",IFERROR(INDEX(품목마스터!$G$2:$G$300,MATCH(D91,품목마스터!$A$2:$A$300,0)),"※미등록"))</f>
        <v/>
      </c>
      <c r="H91" s="31"/>
      <c r="I91" s="32"/>
      <c r="J91" s="32"/>
    </row>
    <row r="92" spans="1:10" ht="15" customHeight="1">
      <c r="A92" s="30"/>
      <c r="B92" s="32"/>
      <c r="C92" s="32"/>
      <c r="D92" s="30"/>
      <c r="E92" s="33" t="str">
        <f>IF(D92="","",IFERROR(INDEX(품목마스터!$B$2:$B$300,MATCH(D92,품목마스터!$A$2:$A$300,0)),"※미등록"))</f>
        <v/>
      </c>
      <c r="F92" s="32"/>
      <c r="G92" s="33" t="str">
        <f>IF(D92="","",IFERROR(INDEX(품목마스터!$G$2:$G$300,MATCH(D92,품목마스터!$A$2:$A$300,0)),"※미등록"))</f>
        <v/>
      </c>
      <c r="H92" s="31"/>
      <c r="I92" s="32"/>
      <c r="J92" s="32"/>
    </row>
    <row r="93" spans="1:10" ht="15" customHeight="1">
      <c r="A93" s="30"/>
      <c r="B93" s="32"/>
      <c r="C93" s="32"/>
      <c r="D93" s="30"/>
      <c r="E93" s="33" t="str">
        <f>IF(D93="","",IFERROR(INDEX(품목마스터!$B$2:$B$300,MATCH(D93,품목마스터!$A$2:$A$300,0)),"※미등록"))</f>
        <v/>
      </c>
      <c r="F93" s="32"/>
      <c r="G93" s="33" t="str">
        <f>IF(D93="","",IFERROR(INDEX(품목마스터!$G$2:$G$300,MATCH(D93,품목마스터!$A$2:$A$300,0)),"※미등록"))</f>
        <v/>
      </c>
      <c r="H93" s="31"/>
      <c r="I93" s="32"/>
      <c r="J93" s="32"/>
    </row>
    <row r="94" spans="1:10" ht="15" customHeight="1">
      <c r="A94" s="30"/>
      <c r="B94" s="32"/>
      <c r="C94" s="32"/>
      <c r="D94" s="30"/>
      <c r="E94" s="33" t="str">
        <f>IF(D94="","",IFERROR(INDEX(품목마스터!$B$2:$B$300,MATCH(D94,품목마스터!$A$2:$A$300,0)),"※미등록"))</f>
        <v/>
      </c>
      <c r="F94" s="32"/>
      <c r="G94" s="33" t="str">
        <f>IF(D94="","",IFERROR(INDEX(품목마스터!$G$2:$G$300,MATCH(D94,품목마스터!$A$2:$A$300,0)),"※미등록"))</f>
        <v/>
      </c>
      <c r="H94" s="31"/>
      <c r="I94" s="32"/>
      <c r="J94" s="32"/>
    </row>
    <row r="95" spans="1:10" ht="15" customHeight="1">
      <c r="A95" s="30"/>
      <c r="B95" s="32"/>
      <c r="C95" s="32"/>
      <c r="D95" s="30"/>
      <c r="E95" s="33" t="str">
        <f>IF(D95="","",IFERROR(INDEX(품목마스터!$B$2:$B$300,MATCH(D95,품목마스터!$A$2:$A$300,0)),"※미등록"))</f>
        <v/>
      </c>
      <c r="F95" s="32"/>
      <c r="G95" s="33" t="str">
        <f>IF(D95="","",IFERROR(INDEX(품목마스터!$G$2:$G$300,MATCH(D95,품목마스터!$A$2:$A$300,0)),"※미등록"))</f>
        <v/>
      </c>
      <c r="H95" s="31"/>
      <c r="I95" s="32"/>
      <c r="J95" s="32"/>
    </row>
    <row r="96" spans="1:10" ht="15" customHeight="1">
      <c r="A96" s="30"/>
      <c r="B96" s="32"/>
      <c r="C96" s="32"/>
      <c r="D96" s="30"/>
      <c r="E96" s="33" t="str">
        <f>IF(D96="","",IFERROR(INDEX(품목마스터!$B$2:$B$300,MATCH(D96,품목마스터!$A$2:$A$300,0)),"※미등록"))</f>
        <v/>
      </c>
      <c r="F96" s="32"/>
      <c r="G96" s="33" t="str">
        <f>IF(D96="","",IFERROR(INDEX(품목마스터!$G$2:$G$300,MATCH(D96,품목마스터!$A$2:$A$300,0)),"※미등록"))</f>
        <v/>
      </c>
      <c r="H96" s="31"/>
      <c r="I96" s="32"/>
      <c r="J96" s="32"/>
    </row>
    <row r="97" spans="1:10" ht="15" customHeight="1">
      <c r="A97" s="30"/>
      <c r="B97" s="32"/>
      <c r="C97" s="32"/>
      <c r="D97" s="30"/>
      <c r="E97" s="33" t="str">
        <f>IF(D97="","",IFERROR(INDEX(품목마스터!$B$2:$B$300,MATCH(D97,품목마스터!$A$2:$A$300,0)),"※미등록"))</f>
        <v/>
      </c>
      <c r="F97" s="32"/>
      <c r="G97" s="33" t="str">
        <f>IF(D97="","",IFERROR(INDEX(품목마스터!$G$2:$G$300,MATCH(D97,품목마스터!$A$2:$A$300,0)),"※미등록"))</f>
        <v/>
      </c>
      <c r="H97" s="31"/>
      <c r="I97" s="32"/>
      <c r="J97" s="32"/>
    </row>
    <row r="98" spans="1:10" ht="15" customHeight="1">
      <c r="A98" s="30"/>
      <c r="B98" s="32"/>
      <c r="C98" s="32"/>
      <c r="D98" s="30"/>
      <c r="E98" s="33" t="str">
        <f>IF(D98="","",IFERROR(INDEX(품목마스터!$B$2:$B$300,MATCH(D98,품목마스터!$A$2:$A$300,0)),"※미등록"))</f>
        <v/>
      </c>
      <c r="F98" s="32"/>
      <c r="G98" s="33" t="str">
        <f>IF(D98="","",IFERROR(INDEX(품목마스터!$G$2:$G$300,MATCH(D98,품목마스터!$A$2:$A$300,0)),"※미등록"))</f>
        <v/>
      </c>
      <c r="H98" s="31"/>
      <c r="I98" s="32"/>
      <c r="J98" s="32"/>
    </row>
    <row r="99" spans="1:10" ht="15" customHeight="1">
      <c r="A99" s="30"/>
      <c r="B99" s="32"/>
      <c r="C99" s="32"/>
      <c r="D99" s="30"/>
      <c r="E99" s="33" t="str">
        <f>IF(D99="","",IFERROR(INDEX(품목마스터!$B$2:$B$300,MATCH(D99,품목마스터!$A$2:$A$300,0)),"※미등록"))</f>
        <v/>
      </c>
      <c r="F99" s="32"/>
      <c r="G99" s="33" t="str">
        <f>IF(D99="","",IFERROR(INDEX(품목마스터!$G$2:$G$300,MATCH(D99,품목마스터!$A$2:$A$300,0)),"※미등록"))</f>
        <v/>
      </c>
      <c r="H99" s="31"/>
      <c r="I99" s="32"/>
      <c r="J99" s="32"/>
    </row>
    <row r="100" spans="1:10" ht="15" customHeight="1">
      <c r="A100" s="30"/>
      <c r="B100" s="32"/>
      <c r="C100" s="32"/>
      <c r="D100" s="30"/>
      <c r="E100" s="33" t="str">
        <f>IF(D100="","",IFERROR(INDEX(품목마스터!$B$2:$B$300,MATCH(D100,품목마스터!$A$2:$A$300,0)),"※미등록"))</f>
        <v/>
      </c>
      <c r="F100" s="32"/>
      <c r="G100" s="33" t="str">
        <f>IF(D100="","",IFERROR(INDEX(품목마스터!$G$2:$G$300,MATCH(D100,품목마스터!$A$2:$A$300,0)),"※미등록"))</f>
        <v/>
      </c>
      <c r="H100" s="31"/>
      <c r="I100" s="32"/>
      <c r="J100" s="32"/>
    </row>
    <row r="101" spans="1:10" ht="15" customHeight="1">
      <c r="A101" s="30"/>
      <c r="B101" s="32"/>
      <c r="C101" s="32"/>
      <c r="D101" s="30"/>
      <c r="E101" s="33" t="str">
        <f>IF(D101="","",IFERROR(INDEX(품목마스터!$B$2:$B$300,MATCH(D101,품목마스터!$A$2:$A$300,0)),"※미등록"))</f>
        <v/>
      </c>
      <c r="F101" s="32"/>
      <c r="G101" s="33" t="str">
        <f>IF(D101="","",IFERROR(INDEX(품목마스터!$G$2:$G$300,MATCH(D101,품목마스터!$A$2:$A$300,0)),"※미등록"))</f>
        <v/>
      </c>
      <c r="H101" s="31"/>
      <c r="I101" s="32"/>
      <c r="J101" s="32"/>
    </row>
    <row r="102" spans="1:10" ht="15" customHeight="1">
      <c r="A102" s="30"/>
      <c r="B102" s="32"/>
      <c r="C102" s="32"/>
      <c r="D102" s="30"/>
      <c r="E102" s="33" t="str">
        <f>IF(D102="","",IFERROR(INDEX(품목마스터!$B$2:$B$300,MATCH(D102,품목마스터!$A$2:$A$300,0)),"※미등록"))</f>
        <v/>
      </c>
      <c r="F102" s="32"/>
      <c r="G102" s="33" t="str">
        <f>IF(D102="","",IFERROR(INDEX(품목마스터!$G$2:$G$300,MATCH(D102,품목마스터!$A$2:$A$300,0)),"※미등록"))</f>
        <v/>
      </c>
      <c r="H102" s="31"/>
      <c r="I102" s="32"/>
      <c r="J102" s="32"/>
    </row>
    <row r="103" spans="1:10" ht="15" customHeight="1">
      <c r="A103" s="30"/>
      <c r="B103" s="32"/>
      <c r="C103" s="32"/>
      <c r="D103" s="30"/>
      <c r="E103" s="33" t="str">
        <f>IF(D103="","",IFERROR(INDEX(품목마스터!$B$2:$B$300,MATCH(D103,품목마스터!$A$2:$A$300,0)),"※미등록"))</f>
        <v/>
      </c>
      <c r="F103" s="32"/>
      <c r="G103" s="33" t="str">
        <f>IF(D103="","",IFERROR(INDEX(품목마스터!$G$2:$G$300,MATCH(D103,품목마스터!$A$2:$A$300,0)),"※미등록"))</f>
        <v/>
      </c>
      <c r="H103" s="31"/>
      <c r="I103" s="32"/>
      <c r="J103" s="32"/>
    </row>
    <row r="104" spans="1:10" ht="15" customHeight="1">
      <c r="A104" s="30"/>
      <c r="B104" s="32"/>
      <c r="C104" s="32"/>
      <c r="D104" s="30"/>
      <c r="E104" s="33" t="str">
        <f>IF(D104="","",IFERROR(INDEX(품목마스터!$B$2:$B$300,MATCH(D104,품목마스터!$A$2:$A$300,0)),"※미등록"))</f>
        <v/>
      </c>
      <c r="F104" s="32"/>
      <c r="G104" s="33" t="str">
        <f>IF(D104="","",IFERROR(INDEX(품목마스터!$G$2:$G$300,MATCH(D104,품목마스터!$A$2:$A$300,0)),"※미등록"))</f>
        <v/>
      </c>
      <c r="H104" s="31"/>
      <c r="I104" s="32"/>
      <c r="J104" s="32"/>
    </row>
    <row r="105" spans="1:10" ht="15" customHeight="1">
      <c r="A105" s="30"/>
      <c r="B105" s="32"/>
      <c r="C105" s="32"/>
      <c r="D105" s="30"/>
      <c r="E105" s="33" t="str">
        <f>IF(D105="","",IFERROR(INDEX(품목마스터!$B$2:$B$300,MATCH(D105,품목마스터!$A$2:$A$300,0)),"※미등록"))</f>
        <v/>
      </c>
      <c r="F105" s="32"/>
      <c r="G105" s="33" t="str">
        <f>IF(D105="","",IFERROR(INDEX(품목마스터!$G$2:$G$300,MATCH(D105,품목마스터!$A$2:$A$300,0)),"※미등록"))</f>
        <v/>
      </c>
      <c r="H105" s="31"/>
      <c r="I105" s="32"/>
      <c r="J105" s="32"/>
    </row>
    <row r="106" spans="1:10" ht="15" customHeight="1">
      <c r="A106" s="30"/>
      <c r="B106" s="32"/>
      <c r="C106" s="32"/>
      <c r="D106" s="30"/>
      <c r="E106" s="33" t="str">
        <f>IF(D106="","",IFERROR(INDEX(품목마스터!$B$2:$B$300,MATCH(D106,품목마스터!$A$2:$A$300,0)),"※미등록"))</f>
        <v/>
      </c>
      <c r="F106" s="32"/>
      <c r="G106" s="33" t="str">
        <f>IF(D106="","",IFERROR(INDEX(품목마스터!$G$2:$G$300,MATCH(D106,품목마스터!$A$2:$A$300,0)),"※미등록"))</f>
        <v/>
      </c>
      <c r="H106" s="31"/>
      <c r="I106" s="32"/>
      <c r="J106" s="32"/>
    </row>
    <row r="107" spans="1:10" ht="15" customHeight="1">
      <c r="A107" s="30"/>
      <c r="B107" s="32"/>
      <c r="C107" s="32"/>
      <c r="D107" s="30"/>
      <c r="E107" s="33" t="str">
        <f>IF(D107="","",IFERROR(INDEX(품목마스터!$B$2:$B$300,MATCH(D107,품목마스터!$A$2:$A$300,0)),"※미등록"))</f>
        <v/>
      </c>
      <c r="F107" s="32"/>
      <c r="G107" s="33" t="str">
        <f>IF(D107="","",IFERROR(INDEX(품목마스터!$G$2:$G$300,MATCH(D107,품목마스터!$A$2:$A$300,0)),"※미등록"))</f>
        <v/>
      </c>
      <c r="H107" s="31"/>
      <c r="I107" s="32"/>
      <c r="J107" s="32"/>
    </row>
    <row r="108" spans="1:10" ht="15" customHeight="1">
      <c r="A108" s="30"/>
      <c r="B108" s="32"/>
      <c r="C108" s="32"/>
      <c r="D108" s="30"/>
      <c r="E108" s="33" t="str">
        <f>IF(D108="","",IFERROR(INDEX(품목마스터!$B$2:$B$300,MATCH(D108,품목마스터!$A$2:$A$300,0)),"※미등록"))</f>
        <v/>
      </c>
      <c r="F108" s="32"/>
      <c r="G108" s="33" t="str">
        <f>IF(D108="","",IFERROR(INDEX(품목마스터!$G$2:$G$300,MATCH(D108,품목마스터!$A$2:$A$300,0)),"※미등록"))</f>
        <v/>
      </c>
      <c r="H108" s="31"/>
      <c r="I108" s="32"/>
      <c r="J108" s="32"/>
    </row>
    <row r="109" spans="1:10" ht="15" customHeight="1">
      <c r="A109" s="30"/>
      <c r="B109" s="32"/>
      <c r="C109" s="32"/>
      <c r="D109" s="30"/>
      <c r="E109" s="33" t="str">
        <f>IF(D109="","",IFERROR(INDEX(품목마스터!$B$2:$B$300,MATCH(D109,품목마스터!$A$2:$A$300,0)),"※미등록"))</f>
        <v/>
      </c>
      <c r="F109" s="32"/>
      <c r="G109" s="33" t="str">
        <f>IF(D109="","",IFERROR(INDEX(품목마스터!$G$2:$G$300,MATCH(D109,품목마스터!$A$2:$A$300,0)),"※미등록"))</f>
        <v/>
      </c>
      <c r="H109" s="31"/>
      <c r="I109" s="32"/>
      <c r="J109" s="32"/>
    </row>
    <row r="110" spans="1:10" ht="15" customHeight="1">
      <c r="A110" s="30"/>
      <c r="B110" s="32"/>
      <c r="C110" s="32"/>
      <c r="D110" s="30"/>
      <c r="E110" s="33" t="str">
        <f>IF(D110="","",IFERROR(INDEX(품목마스터!$B$2:$B$300,MATCH(D110,품목마스터!$A$2:$A$300,0)),"※미등록"))</f>
        <v/>
      </c>
      <c r="F110" s="32"/>
      <c r="G110" s="33" t="str">
        <f>IF(D110="","",IFERROR(INDEX(품목마스터!$G$2:$G$300,MATCH(D110,품목마스터!$A$2:$A$300,0)),"※미등록"))</f>
        <v/>
      </c>
      <c r="H110" s="31"/>
      <c r="I110" s="32"/>
      <c r="J110" s="32"/>
    </row>
    <row r="111" spans="1:10" ht="15" customHeight="1">
      <c r="A111" s="30"/>
      <c r="B111" s="32"/>
      <c r="C111" s="32"/>
      <c r="D111" s="30"/>
      <c r="E111" s="33" t="str">
        <f>IF(D111="","",IFERROR(INDEX(품목마스터!$B$2:$B$300,MATCH(D111,품목마스터!$A$2:$A$300,0)),"※미등록"))</f>
        <v/>
      </c>
      <c r="F111" s="32"/>
      <c r="G111" s="33" t="str">
        <f>IF(D111="","",IFERROR(INDEX(품목마스터!$G$2:$G$300,MATCH(D111,품목마스터!$A$2:$A$300,0)),"※미등록"))</f>
        <v/>
      </c>
      <c r="H111" s="31"/>
      <c r="I111" s="32"/>
      <c r="J111" s="32"/>
    </row>
    <row r="112" spans="1:10" ht="15" customHeight="1">
      <c r="A112" s="30"/>
      <c r="B112" s="32"/>
      <c r="C112" s="32"/>
      <c r="D112" s="30"/>
      <c r="E112" s="33" t="str">
        <f>IF(D112="","",IFERROR(INDEX(품목마스터!$B$2:$B$300,MATCH(D112,품목마스터!$A$2:$A$300,0)),"※미등록"))</f>
        <v/>
      </c>
      <c r="F112" s="32"/>
      <c r="G112" s="33" t="str">
        <f>IF(D112="","",IFERROR(INDEX(품목마스터!$G$2:$G$300,MATCH(D112,품목마스터!$A$2:$A$300,0)),"※미등록"))</f>
        <v/>
      </c>
      <c r="H112" s="31"/>
      <c r="I112" s="32"/>
      <c r="J112" s="32"/>
    </row>
    <row r="113" spans="1:10" ht="15" customHeight="1">
      <c r="A113" s="30"/>
      <c r="B113" s="32"/>
      <c r="C113" s="32"/>
      <c r="D113" s="30"/>
      <c r="E113" s="33" t="str">
        <f>IF(D113="","",IFERROR(INDEX(품목마스터!$B$2:$B$300,MATCH(D113,품목마스터!$A$2:$A$300,0)),"※미등록"))</f>
        <v/>
      </c>
      <c r="F113" s="32"/>
      <c r="G113" s="33" t="str">
        <f>IF(D113="","",IFERROR(INDEX(품목마스터!$G$2:$G$300,MATCH(D113,품목마스터!$A$2:$A$300,0)),"※미등록"))</f>
        <v/>
      </c>
      <c r="H113" s="31"/>
      <c r="I113" s="32"/>
      <c r="J113" s="32"/>
    </row>
    <row r="114" spans="1:10" ht="15" customHeight="1">
      <c r="A114" s="30"/>
      <c r="B114" s="32"/>
      <c r="C114" s="32"/>
      <c r="D114" s="30"/>
      <c r="E114" s="33" t="str">
        <f>IF(D114="","",IFERROR(INDEX(품목마스터!$B$2:$B$300,MATCH(D114,품목마스터!$A$2:$A$300,0)),"※미등록"))</f>
        <v/>
      </c>
      <c r="F114" s="32"/>
      <c r="G114" s="33" t="str">
        <f>IF(D114="","",IFERROR(INDEX(품목마스터!$G$2:$G$300,MATCH(D114,품목마스터!$A$2:$A$300,0)),"※미등록"))</f>
        <v/>
      </c>
      <c r="H114" s="31"/>
      <c r="I114" s="32"/>
      <c r="J114" s="32"/>
    </row>
    <row r="115" spans="1:10" ht="15" customHeight="1">
      <c r="A115" s="30"/>
      <c r="B115" s="32"/>
      <c r="C115" s="32"/>
      <c r="D115" s="30"/>
      <c r="E115" s="33" t="str">
        <f>IF(D115="","",IFERROR(INDEX(품목마스터!$B$2:$B$300,MATCH(D115,품목마스터!$A$2:$A$300,0)),"※미등록"))</f>
        <v/>
      </c>
      <c r="F115" s="32"/>
      <c r="G115" s="33" t="str">
        <f>IF(D115="","",IFERROR(INDEX(품목마스터!$G$2:$G$300,MATCH(D115,품목마스터!$A$2:$A$300,0)),"※미등록"))</f>
        <v/>
      </c>
      <c r="H115" s="31"/>
      <c r="I115" s="32"/>
      <c r="J115" s="32"/>
    </row>
    <row r="116" spans="1:10" ht="15" customHeight="1">
      <c r="A116" s="30"/>
      <c r="B116" s="32"/>
      <c r="C116" s="32"/>
      <c r="D116" s="30"/>
      <c r="E116" s="33" t="str">
        <f>IF(D116="","",IFERROR(INDEX(품목마스터!$B$2:$B$300,MATCH(D116,품목마스터!$A$2:$A$300,0)),"※미등록"))</f>
        <v/>
      </c>
      <c r="F116" s="32"/>
      <c r="G116" s="33" t="str">
        <f>IF(D116="","",IFERROR(INDEX(품목마스터!$G$2:$G$300,MATCH(D116,품목마스터!$A$2:$A$300,0)),"※미등록"))</f>
        <v/>
      </c>
      <c r="H116" s="31"/>
      <c r="I116" s="32"/>
      <c r="J116" s="32"/>
    </row>
    <row r="117" spans="1:10" ht="15" customHeight="1">
      <c r="A117" s="30"/>
      <c r="B117" s="32"/>
      <c r="C117" s="32"/>
      <c r="D117" s="30"/>
      <c r="E117" s="33" t="str">
        <f>IF(D117="","",IFERROR(INDEX(품목마스터!$B$2:$B$300,MATCH(D117,품목마스터!$A$2:$A$300,0)),"※미등록"))</f>
        <v/>
      </c>
      <c r="F117" s="32"/>
      <c r="G117" s="33" t="str">
        <f>IF(D117="","",IFERROR(INDEX(품목마스터!$G$2:$G$300,MATCH(D117,품목마스터!$A$2:$A$300,0)),"※미등록"))</f>
        <v/>
      </c>
      <c r="H117" s="31"/>
      <c r="I117" s="32"/>
      <c r="J117" s="32"/>
    </row>
    <row r="118" spans="1:10" ht="15" customHeight="1">
      <c r="A118" s="30"/>
      <c r="B118" s="32"/>
      <c r="C118" s="32"/>
      <c r="D118" s="30"/>
      <c r="E118" s="33" t="str">
        <f>IF(D118="","",IFERROR(INDEX(품목마스터!$B$2:$B$300,MATCH(D118,품목마스터!$A$2:$A$300,0)),"※미등록"))</f>
        <v/>
      </c>
      <c r="F118" s="32"/>
      <c r="G118" s="33" t="str">
        <f>IF(D118="","",IFERROR(INDEX(품목마스터!$G$2:$G$300,MATCH(D118,품목마스터!$A$2:$A$300,0)),"※미등록"))</f>
        <v/>
      </c>
      <c r="H118" s="31"/>
      <c r="I118" s="32"/>
      <c r="J118" s="32"/>
    </row>
    <row r="119" spans="1:10" ht="15" customHeight="1">
      <c r="A119" s="30"/>
      <c r="B119" s="32"/>
      <c r="C119" s="32"/>
      <c r="D119" s="30"/>
      <c r="E119" s="33" t="str">
        <f>IF(D119="","",IFERROR(INDEX(품목마스터!$B$2:$B$300,MATCH(D119,품목마스터!$A$2:$A$300,0)),"※미등록"))</f>
        <v/>
      </c>
      <c r="F119" s="32"/>
      <c r="G119" s="33" t="str">
        <f>IF(D119="","",IFERROR(INDEX(품목마스터!$G$2:$G$300,MATCH(D119,품목마스터!$A$2:$A$300,0)),"※미등록"))</f>
        <v/>
      </c>
      <c r="H119" s="31"/>
      <c r="I119" s="32"/>
      <c r="J119" s="32"/>
    </row>
    <row r="120" spans="1:10" ht="15" customHeight="1">
      <c r="A120" s="30"/>
      <c r="B120" s="32"/>
      <c r="C120" s="32"/>
      <c r="D120" s="30"/>
      <c r="E120" s="33" t="str">
        <f>IF(D120="","",IFERROR(INDEX(품목마스터!$B$2:$B$300,MATCH(D120,품목마스터!$A$2:$A$300,0)),"※미등록"))</f>
        <v/>
      </c>
      <c r="F120" s="32"/>
      <c r="G120" s="33" t="str">
        <f>IF(D120="","",IFERROR(INDEX(품목마스터!$G$2:$G$300,MATCH(D120,품목마스터!$A$2:$A$300,0)),"※미등록"))</f>
        <v/>
      </c>
      <c r="H120" s="31"/>
      <c r="I120" s="32"/>
      <c r="J120" s="32"/>
    </row>
    <row r="121" spans="1:10" ht="15" customHeight="1">
      <c r="A121" s="30"/>
      <c r="B121" s="32"/>
      <c r="C121" s="32"/>
      <c r="D121" s="30"/>
      <c r="E121" s="33" t="str">
        <f>IF(D121="","",IFERROR(INDEX(품목마스터!$B$2:$B$300,MATCH(D121,품목마스터!$A$2:$A$300,0)),"※미등록"))</f>
        <v/>
      </c>
      <c r="F121" s="32"/>
      <c r="G121" s="33" t="str">
        <f>IF(D121="","",IFERROR(INDEX(품목마스터!$G$2:$G$300,MATCH(D121,품목마스터!$A$2:$A$300,0)),"※미등록"))</f>
        <v/>
      </c>
      <c r="H121" s="31"/>
      <c r="I121" s="32"/>
      <c r="J121" s="32"/>
    </row>
    <row r="122" spans="1:10" ht="15" customHeight="1">
      <c r="A122" s="30"/>
      <c r="B122" s="32"/>
      <c r="C122" s="32"/>
      <c r="D122" s="30"/>
      <c r="E122" s="33" t="str">
        <f>IF(D122="","",IFERROR(INDEX(품목마스터!$B$2:$B$300,MATCH(D122,품목마스터!$A$2:$A$300,0)),"※미등록"))</f>
        <v/>
      </c>
      <c r="F122" s="32"/>
      <c r="G122" s="33" t="str">
        <f>IF(D122="","",IFERROR(INDEX(품목마스터!$G$2:$G$300,MATCH(D122,품목마스터!$A$2:$A$300,0)),"※미등록"))</f>
        <v/>
      </c>
      <c r="H122" s="31"/>
      <c r="I122" s="32"/>
      <c r="J122" s="32"/>
    </row>
    <row r="123" spans="1:10" ht="15" customHeight="1">
      <c r="A123" s="30"/>
      <c r="B123" s="32"/>
      <c r="C123" s="32"/>
      <c r="D123" s="30"/>
      <c r="E123" s="33" t="str">
        <f>IF(D123="","",IFERROR(INDEX(품목마스터!$B$2:$B$300,MATCH(D123,품목마스터!$A$2:$A$300,0)),"※미등록"))</f>
        <v/>
      </c>
      <c r="F123" s="32"/>
      <c r="G123" s="33" t="str">
        <f>IF(D123="","",IFERROR(INDEX(품목마스터!$G$2:$G$300,MATCH(D123,품목마스터!$A$2:$A$300,0)),"※미등록"))</f>
        <v/>
      </c>
      <c r="H123" s="31"/>
      <c r="I123" s="32"/>
      <c r="J123" s="32"/>
    </row>
    <row r="124" spans="1:10" ht="15" customHeight="1">
      <c r="A124" s="30"/>
      <c r="B124" s="32"/>
      <c r="C124" s="32"/>
      <c r="D124" s="30"/>
      <c r="E124" s="33" t="str">
        <f>IF(D124="","",IFERROR(INDEX(품목마스터!$B$2:$B$300,MATCH(D124,품목마스터!$A$2:$A$300,0)),"※미등록"))</f>
        <v/>
      </c>
      <c r="F124" s="32"/>
      <c r="G124" s="33" t="str">
        <f>IF(D124="","",IFERROR(INDEX(품목마스터!$G$2:$G$300,MATCH(D124,품목마스터!$A$2:$A$300,0)),"※미등록"))</f>
        <v/>
      </c>
      <c r="H124" s="31"/>
      <c r="I124" s="32"/>
      <c r="J124" s="32"/>
    </row>
    <row r="125" spans="1:10" ht="15" customHeight="1">
      <c r="A125" s="30"/>
      <c r="B125" s="32"/>
      <c r="C125" s="32"/>
      <c r="D125" s="30"/>
      <c r="E125" s="33" t="str">
        <f>IF(D125="","",IFERROR(INDEX(품목마스터!$B$2:$B$300,MATCH(D125,품목마스터!$A$2:$A$300,0)),"※미등록"))</f>
        <v/>
      </c>
      <c r="F125" s="32"/>
      <c r="G125" s="33" t="str">
        <f>IF(D125="","",IFERROR(INDEX(품목마스터!$G$2:$G$300,MATCH(D125,품목마스터!$A$2:$A$300,0)),"※미등록"))</f>
        <v/>
      </c>
      <c r="H125" s="31"/>
      <c r="I125" s="32"/>
      <c r="J125" s="32"/>
    </row>
    <row r="126" spans="1:10" ht="15" customHeight="1">
      <c r="A126" s="30"/>
      <c r="B126" s="32"/>
      <c r="C126" s="32"/>
      <c r="D126" s="30"/>
      <c r="E126" s="33" t="str">
        <f>IF(D126="","",IFERROR(INDEX(품목마스터!$B$2:$B$300,MATCH(D126,품목마스터!$A$2:$A$300,0)),"※미등록"))</f>
        <v/>
      </c>
      <c r="F126" s="32"/>
      <c r="G126" s="33" t="str">
        <f>IF(D126="","",IFERROR(INDEX(품목마스터!$G$2:$G$300,MATCH(D126,품목마스터!$A$2:$A$300,0)),"※미등록"))</f>
        <v/>
      </c>
      <c r="H126" s="31"/>
      <c r="I126" s="32"/>
      <c r="J126" s="32"/>
    </row>
    <row r="127" spans="1:10" ht="15" customHeight="1">
      <c r="A127" s="30"/>
      <c r="B127" s="32"/>
      <c r="C127" s="32"/>
      <c r="D127" s="30"/>
      <c r="E127" s="33" t="str">
        <f>IF(D127="","",IFERROR(INDEX(품목마스터!$B$2:$B$300,MATCH(D127,품목마스터!$A$2:$A$300,0)),"※미등록"))</f>
        <v/>
      </c>
      <c r="F127" s="32"/>
      <c r="G127" s="33" t="str">
        <f>IF(D127="","",IFERROR(INDEX(품목마스터!$G$2:$G$300,MATCH(D127,품목마스터!$A$2:$A$300,0)),"※미등록"))</f>
        <v/>
      </c>
      <c r="H127" s="31"/>
      <c r="I127" s="32"/>
      <c r="J127" s="32"/>
    </row>
    <row r="128" spans="1:10" ht="15" customHeight="1">
      <c r="A128" s="30"/>
      <c r="B128" s="32"/>
      <c r="C128" s="32"/>
      <c r="D128" s="30"/>
      <c r="E128" s="33" t="str">
        <f>IF(D128="","",IFERROR(INDEX(품목마스터!$B$2:$B$300,MATCH(D128,품목마스터!$A$2:$A$300,0)),"※미등록"))</f>
        <v/>
      </c>
      <c r="F128" s="32"/>
      <c r="G128" s="33" t="str">
        <f>IF(D128="","",IFERROR(INDEX(품목마스터!$G$2:$G$300,MATCH(D128,품목마스터!$A$2:$A$300,0)),"※미등록"))</f>
        <v/>
      </c>
      <c r="H128" s="31"/>
      <c r="I128" s="32"/>
      <c r="J128" s="32"/>
    </row>
    <row r="129" spans="1:10" ht="15" customHeight="1">
      <c r="A129" s="30"/>
      <c r="B129" s="32"/>
      <c r="C129" s="32"/>
      <c r="D129" s="30"/>
      <c r="E129" s="33" t="str">
        <f>IF(D129="","",IFERROR(INDEX(품목마스터!$B$2:$B$300,MATCH(D129,품목마스터!$A$2:$A$300,0)),"※미등록"))</f>
        <v/>
      </c>
      <c r="F129" s="32"/>
      <c r="G129" s="33" t="str">
        <f>IF(D129="","",IFERROR(INDEX(품목마스터!$G$2:$G$300,MATCH(D129,품목마스터!$A$2:$A$300,0)),"※미등록"))</f>
        <v/>
      </c>
      <c r="H129" s="31"/>
      <c r="I129" s="32"/>
      <c r="J129" s="32"/>
    </row>
    <row r="130" spans="1:10" ht="15" customHeight="1">
      <c r="A130" s="30"/>
      <c r="B130" s="32"/>
      <c r="C130" s="32"/>
      <c r="D130" s="30"/>
      <c r="E130" s="33" t="str">
        <f>IF(D130="","",IFERROR(INDEX(품목마스터!$B$2:$B$300,MATCH(D130,품목마스터!$A$2:$A$300,0)),"※미등록"))</f>
        <v/>
      </c>
      <c r="F130" s="32"/>
      <c r="G130" s="33" t="str">
        <f>IF(D130="","",IFERROR(INDEX(품목마스터!$G$2:$G$300,MATCH(D130,품목마스터!$A$2:$A$300,0)),"※미등록"))</f>
        <v/>
      </c>
      <c r="H130" s="31"/>
      <c r="I130" s="32"/>
      <c r="J130" s="32"/>
    </row>
    <row r="131" spans="1:10" ht="15" customHeight="1">
      <c r="A131" s="30"/>
      <c r="B131" s="32"/>
      <c r="C131" s="32"/>
      <c r="D131" s="30"/>
      <c r="E131" s="33" t="str">
        <f>IF(D131="","",IFERROR(INDEX(품목마스터!$B$2:$B$300,MATCH(D131,품목마스터!$A$2:$A$300,0)),"※미등록"))</f>
        <v/>
      </c>
      <c r="F131" s="32"/>
      <c r="G131" s="33" t="str">
        <f>IF(D131="","",IFERROR(INDEX(품목마스터!$G$2:$G$300,MATCH(D131,품목마스터!$A$2:$A$300,0)),"※미등록"))</f>
        <v/>
      </c>
      <c r="H131" s="31"/>
      <c r="I131" s="32"/>
      <c r="J131" s="32"/>
    </row>
    <row r="132" spans="1:10" ht="15" customHeight="1">
      <c r="A132" s="30"/>
      <c r="B132" s="32"/>
      <c r="C132" s="32"/>
      <c r="D132" s="30"/>
      <c r="E132" s="33" t="str">
        <f>IF(D132="","",IFERROR(INDEX(품목마스터!$B$2:$B$300,MATCH(D132,품목마스터!$A$2:$A$300,0)),"※미등록"))</f>
        <v/>
      </c>
      <c r="F132" s="32"/>
      <c r="G132" s="33" t="str">
        <f>IF(D132="","",IFERROR(INDEX(품목마스터!$G$2:$G$300,MATCH(D132,품목마스터!$A$2:$A$300,0)),"※미등록"))</f>
        <v/>
      </c>
      <c r="H132" s="31"/>
      <c r="I132" s="32"/>
      <c r="J132" s="32"/>
    </row>
    <row r="133" spans="1:10" ht="15" customHeight="1">
      <c r="A133" s="30"/>
      <c r="B133" s="32"/>
      <c r="C133" s="32"/>
      <c r="D133" s="30"/>
      <c r="E133" s="33" t="str">
        <f>IF(D133="","",IFERROR(INDEX(품목마스터!$B$2:$B$300,MATCH(D133,품목마스터!$A$2:$A$300,0)),"※미등록"))</f>
        <v/>
      </c>
      <c r="F133" s="32"/>
      <c r="G133" s="33" t="str">
        <f>IF(D133="","",IFERROR(INDEX(품목마스터!$G$2:$G$300,MATCH(D133,품목마스터!$A$2:$A$300,0)),"※미등록"))</f>
        <v/>
      </c>
      <c r="H133" s="31"/>
      <c r="I133" s="32"/>
      <c r="J133" s="32"/>
    </row>
    <row r="134" spans="1:10" ht="15" customHeight="1">
      <c r="A134" s="30"/>
      <c r="B134" s="32"/>
      <c r="C134" s="32"/>
      <c r="D134" s="30"/>
      <c r="E134" s="33" t="str">
        <f>IF(D134="","",IFERROR(INDEX(품목마스터!$B$2:$B$300,MATCH(D134,품목마스터!$A$2:$A$300,0)),"※미등록"))</f>
        <v/>
      </c>
      <c r="F134" s="32"/>
      <c r="G134" s="33" t="str">
        <f>IF(D134="","",IFERROR(INDEX(품목마스터!$G$2:$G$300,MATCH(D134,품목마스터!$A$2:$A$300,0)),"※미등록"))</f>
        <v/>
      </c>
      <c r="H134" s="31"/>
      <c r="I134" s="32"/>
      <c r="J134" s="32"/>
    </row>
    <row r="135" spans="1:10" ht="15" customHeight="1">
      <c r="A135" s="30"/>
      <c r="B135" s="32"/>
      <c r="C135" s="32"/>
      <c r="D135" s="30"/>
      <c r="E135" s="33" t="str">
        <f>IF(D135="","",IFERROR(INDEX(품목마스터!$B$2:$B$300,MATCH(D135,품목마스터!$A$2:$A$300,0)),"※미등록"))</f>
        <v/>
      </c>
      <c r="F135" s="32"/>
      <c r="G135" s="33" t="str">
        <f>IF(D135="","",IFERROR(INDEX(품목마스터!$G$2:$G$300,MATCH(D135,품목마스터!$A$2:$A$300,0)),"※미등록"))</f>
        <v/>
      </c>
      <c r="H135" s="31"/>
      <c r="I135" s="32"/>
      <c r="J135" s="32"/>
    </row>
    <row r="136" spans="1:10" ht="15" customHeight="1">
      <c r="A136" s="30"/>
      <c r="B136" s="32"/>
      <c r="C136" s="32"/>
      <c r="D136" s="30"/>
      <c r="E136" s="33" t="str">
        <f>IF(D136="","",IFERROR(INDEX(품목마스터!$B$2:$B$300,MATCH(D136,품목마스터!$A$2:$A$300,0)),"※미등록"))</f>
        <v/>
      </c>
      <c r="F136" s="32"/>
      <c r="G136" s="33" t="str">
        <f>IF(D136="","",IFERROR(INDEX(품목마스터!$G$2:$G$300,MATCH(D136,품목마스터!$A$2:$A$300,0)),"※미등록"))</f>
        <v/>
      </c>
      <c r="H136" s="31"/>
      <c r="I136" s="32"/>
      <c r="J136" s="32"/>
    </row>
    <row r="137" spans="1:10" ht="15" customHeight="1">
      <c r="A137" s="30"/>
      <c r="B137" s="32"/>
      <c r="C137" s="32"/>
      <c r="D137" s="30"/>
      <c r="E137" s="33" t="str">
        <f>IF(D137="","",IFERROR(INDEX(품목마스터!$B$2:$B$300,MATCH(D137,품목마스터!$A$2:$A$300,0)),"※미등록"))</f>
        <v/>
      </c>
      <c r="F137" s="32"/>
      <c r="G137" s="33" t="str">
        <f>IF(D137="","",IFERROR(INDEX(품목마스터!$G$2:$G$300,MATCH(D137,품목마스터!$A$2:$A$300,0)),"※미등록"))</f>
        <v/>
      </c>
      <c r="H137" s="31"/>
      <c r="I137" s="32"/>
      <c r="J137" s="32"/>
    </row>
    <row r="138" spans="1:10" ht="15" customHeight="1">
      <c r="A138" s="30"/>
      <c r="B138" s="32"/>
      <c r="C138" s="32"/>
      <c r="D138" s="30"/>
      <c r="E138" s="33" t="str">
        <f>IF(D138="","",IFERROR(INDEX(품목마스터!$B$2:$B$300,MATCH(D138,품목마스터!$A$2:$A$300,0)),"※미등록"))</f>
        <v/>
      </c>
      <c r="F138" s="32"/>
      <c r="G138" s="33" t="str">
        <f>IF(D138="","",IFERROR(INDEX(품목마스터!$G$2:$G$300,MATCH(D138,품목마스터!$A$2:$A$300,0)),"※미등록"))</f>
        <v/>
      </c>
      <c r="H138" s="31"/>
      <c r="I138" s="32"/>
      <c r="J138" s="32"/>
    </row>
    <row r="139" spans="1:10" ht="15" customHeight="1">
      <c r="A139" s="30"/>
      <c r="B139" s="32"/>
      <c r="C139" s="32"/>
      <c r="D139" s="30"/>
      <c r="E139" s="33" t="str">
        <f>IF(D139="","",IFERROR(INDEX(품목마스터!$B$2:$B$300,MATCH(D139,품목마스터!$A$2:$A$300,0)),"※미등록"))</f>
        <v/>
      </c>
      <c r="F139" s="32"/>
      <c r="G139" s="33" t="str">
        <f>IF(D139="","",IFERROR(INDEX(품목마스터!$G$2:$G$300,MATCH(D139,품목마스터!$A$2:$A$300,0)),"※미등록"))</f>
        <v/>
      </c>
      <c r="H139" s="31"/>
      <c r="I139" s="32"/>
      <c r="J139" s="32"/>
    </row>
    <row r="140" spans="1:10" ht="15" customHeight="1">
      <c r="A140" s="30"/>
      <c r="B140" s="32"/>
      <c r="C140" s="32"/>
      <c r="D140" s="30"/>
      <c r="E140" s="33" t="str">
        <f>IF(D140="","",IFERROR(INDEX(품목마스터!$B$2:$B$300,MATCH(D140,품목마스터!$A$2:$A$300,0)),"※미등록"))</f>
        <v/>
      </c>
      <c r="F140" s="32"/>
      <c r="G140" s="33" t="str">
        <f>IF(D140="","",IFERROR(INDEX(품목마스터!$G$2:$G$300,MATCH(D140,품목마스터!$A$2:$A$300,0)),"※미등록"))</f>
        <v/>
      </c>
      <c r="H140" s="31"/>
      <c r="I140" s="32"/>
      <c r="J140" s="32"/>
    </row>
    <row r="141" spans="1:10" ht="15" customHeight="1">
      <c r="A141" s="30"/>
      <c r="B141" s="32"/>
      <c r="C141" s="32"/>
      <c r="D141" s="30"/>
      <c r="E141" s="33" t="str">
        <f>IF(D141="","",IFERROR(INDEX(품목마스터!$B$2:$B$300,MATCH(D141,품목마스터!$A$2:$A$300,0)),"※미등록"))</f>
        <v/>
      </c>
      <c r="F141" s="32"/>
      <c r="G141" s="33" t="str">
        <f>IF(D141="","",IFERROR(INDEX(품목마스터!$G$2:$G$300,MATCH(D141,품목마스터!$A$2:$A$300,0)),"※미등록"))</f>
        <v/>
      </c>
      <c r="H141" s="31"/>
      <c r="I141" s="32"/>
      <c r="J141" s="32"/>
    </row>
    <row r="142" spans="1:10" ht="15" customHeight="1">
      <c r="A142" s="30"/>
      <c r="B142" s="32"/>
      <c r="C142" s="32"/>
      <c r="D142" s="30"/>
      <c r="E142" s="33" t="str">
        <f>IF(D142="","",IFERROR(INDEX(품목마스터!$B$2:$B$300,MATCH(D142,품목마스터!$A$2:$A$300,0)),"※미등록"))</f>
        <v/>
      </c>
      <c r="F142" s="32"/>
      <c r="G142" s="33" t="str">
        <f>IF(D142="","",IFERROR(INDEX(품목마스터!$G$2:$G$300,MATCH(D142,품목마스터!$A$2:$A$300,0)),"※미등록"))</f>
        <v/>
      </c>
      <c r="H142" s="31"/>
      <c r="I142" s="32"/>
      <c r="J142" s="32"/>
    </row>
    <row r="143" spans="1:10" ht="15" customHeight="1">
      <c r="A143" s="30"/>
      <c r="B143" s="32"/>
      <c r="C143" s="32"/>
      <c r="D143" s="30"/>
      <c r="E143" s="33" t="str">
        <f>IF(D143="","",IFERROR(INDEX(품목마스터!$B$2:$B$300,MATCH(D143,품목마스터!$A$2:$A$300,0)),"※미등록"))</f>
        <v/>
      </c>
      <c r="F143" s="32"/>
      <c r="G143" s="33" t="str">
        <f>IF(D143="","",IFERROR(INDEX(품목마스터!$G$2:$G$300,MATCH(D143,품목마스터!$A$2:$A$300,0)),"※미등록"))</f>
        <v/>
      </c>
      <c r="H143" s="31"/>
      <c r="I143" s="32"/>
      <c r="J143" s="32"/>
    </row>
    <row r="144" spans="1:10" ht="15" customHeight="1">
      <c r="A144" s="30"/>
      <c r="B144" s="32"/>
      <c r="C144" s="32"/>
      <c r="D144" s="30"/>
      <c r="E144" s="33" t="str">
        <f>IF(D144="","",IFERROR(INDEX(품목마스터!$B$2:$B$300,MATCH(D144,품목마스터!$A$2:$A$300,0)),"※미등록"))</f>
        <v/>
      </c>
      <c r="F144" s="32"/>
      <c r="G144" s="33" t="str">
        <f>IF(D144="","",IFERROR(INDEX(품목마스터!$G$2:$G$300,MATCH(D144,품목마스터!$A$2:$A$300,0)),"※미등록"))</f>
        <v/>
      </c>
      <c r="H144" s="31"/>
      <c r="I144" s="32"/>
      <c r="J144" s="32"/>
    </row>
    <row r="145" spans="1:10" ht="15" customHeight="1">
      <c r="A145" s="30"/>
      <c r="B145" s="32"/>
      <c r="C145" s="32"/>
      <c r="D145" s="30"/>
      <c r="E145" s="33" t="str">
        <f>IF(D145="","",IFERROR(INDEX(품목마스터!$B$2:$B$300,MATCH(D145,품목마스터!$A$2:$A$300,0)),"※미등록"))</f>
        <v/>
      </c>
      <c r="F145" s="32"/>
      <c r="G145" s="33" t="str">
        <f>IF(D145="","",IFERROR(INDEX(품목마스터!$G$2:$G$300,MATCH(D145,품목마스터!$A$2:$A$300,0)),"※미등록"))</f>
        <v/>
      </c>
      <c r="H145" s="31"/>
      <c r="I145" s="32"/>
      <c r="J145" s="32"/>
    </row>
    <row r="146" spans="1:10" ht="15" customHeight="1">
      <c r="A146" s="30"/>
      <c r="B146" s="32"/>
      <c r="C146" s="32"/>
      <c r="D146" s="30"/>
      <c r="E146" s="33" t="str">
        <f>IF(D146="","",IFERROR(INDEX(품목마스터!$B$2:$B$300,MATCH(D146,품목마스터!$A$2:$A$300,0)),"※미등록"))</f>
        <v/>
      </c>
      <c r="F146" s="32"/>
      <c r="G146" s="33" t="str">
        <f>IF(D146="","",IFERROR(INDEX(품목마스터!$G$2:$G$300,MATCH(D146,품목마스터!$A$2:$A$300,0)),"※미등록"))</f>
        <v/>
      </c>
      <c r="H146" s="31"/>
      <c r="I146" s="32"/>
      <c r="J146" s="32"/>
    </row>
    <row r="147" spans="1:10" ht="15" customHeight="1">
      <c r="A147" s="30"/>
      <c r="B147" s="32"/>
      <c r="C147" s="32"/>
      <c r="D147" s="30"/>
      <c r="E147" s="33" t="str">
        <f>IF(D147="","",IFERROR(INDEX(품목마스터!$B$2:$B$300,MATCH(D147,품목마스터!$A$2:$A$300,0)),"※미등록"))</f>
        <v/>
      </c>
      <c r="F147" s="32"/>
      <c r="G147" s="33" t="str">
        <f>IF(D147="","",IFERROR(INDEX(품목마스터!$G$2:$G$300,MATCH(D147,품목마스터!$A$2:$A$300,0)),"※미등록"))</f>
        <v/>
      </c>
      <c r="H147" s="31"/>
      <c r="I147" s="32"/>
      <c r="J147" s="32"/>
    </row>
    <row r="148" spans="1:10" ht="15" customHeight="1">
      <c r="A148" s="30"/>
      <c r="B148" s="32"/>
      <c r="C148" s="32"/>
      <c r="D148" s="30"/>
      <c r="E148" s="33" t="str">
        <f>IF(D148="","",IFERROR(INDEX(품목마스터!$B$2:$B$300,MATCH(D148,품목마스터!$A$2:$A$300,0)),"※미등록"))</f>
        <v/>
      </c>
      <c r="F148" s="32"/>
      <c r="G148" s="33" t="str">
        <f>IF(D148="","",IFERROR(INDEX(품목마스터!$G$2:$G$300,MATCH(D148,품목마스터!$A$2:$A$300,0)),"※미등록"))</f>
        <v/>
      </c>
      <c r="H148" s="31"/>
      <c r="I148" s="32"/>
      <c r="J148" s="32"/>
    </row>
    <row r="149" spans="1:10" ht="15" customHeight="1">
      <c r="A149" s="30"/>
      <c r="B149" s="32"/>
      <c r="C149" s="32"/>
      <c r="D149" s="30"/>
      <c r="E149" s="33" t="str">
        <f>IF(D149="","",IFERROR(INDEX(품목마스터!$B$2:$B$300,MATCH(D149,품목마스터!$A$2:$A$300,0)),"※미등록"))</f>
        <v/>
      </c>
      <c r="F149" s="32"/>
      <c r="G149" s="33" t="str">
        <f>IF(D149="","",IFERROR(INDEX(품목마스터!$G$2:$G$300,MATCH(D149,품목마스터!$A$2:$A$300,0)),"※미등록"))</f>
        <v/>
      </c>
      <c r="H149" s="31"/>
      <c r="I149" s="32"/>
      <c r="J149" s="32"/>
    </row>
    <row r="150" spans="1:10" ht="15" customHeight="1">
      <c r="A150" s="30"/>
      <c r="B150" s="32"/>
      <c r="C150" s="32"/>
      <c r="D150" s="30"/>
      <c r="E150" s="33" t="str">
        <f>IF(D150="","",IFERROR(INDEX(품목마스터!$B$2:$B$300,MATCH(D150,품목마스터!$A$2:$A$300,0)),"※미등록"))</f>
        <v/>
      </c>
      <c r="F150" s="32"/>
      <c r="G150" s="33" t="str">
        <f>IF(D150="","",IFERROR(INDEX(품목마스터!$G$2:$G$300,MATCH(D150,품목마스터!$A$2:$A$300,0)),"※미등록"))</f>
        <v/>
      </c>
      <c r="H150" s="31"/>
      <c r="I150" s="32"/>
      <c r="J150" s="32"/>
    </row>
    <row r="151" spans="1:10" ht="15" customHeight="1">
      <c r="A151" s="30"/>
      <c r="B151" s="32"/>
      <c r="C151" s="32"/>
      <c r="D151" s="30"/>
      <c r="E151" s="33" t="str">
        <f>IF(D151="","",IFERROR(INDEX(품목마스터!$B$2:$B$300,MATCH(D151,품목마스터!$A$2:$A$300,0)),"※미등록"))</f>
        <v/>
      </c>
      <c r="F151" s="32"/>
      <c r="G151" s="33" t="str">
        <f>IF(D151="","",IFERROR(INDEX(품목마스터!$G$2:$G$300,MATCH(D151,품목마스터!$A$2:$A$300,0)),"※미등록"))</f>
        <v/>
      </c>
      <c r="H151" s="31"/>
      <c r="I151" s="32"/>
      <c r="J151" s="32"/>
    </row>
    <row r="152" spans="1:10" ht="15" customHeight="1">
      <c r="A152" s="30"/>
      <c r="B152" s="32"/>
      <c r="C152" s="32"/>
      <c r="D152" s="30"/>
      <c r="E152" s="33" t="str">
        <f>IF(D152="","",IFERROR(INDEX(품목마스터!$B$2:$B$300,MATCH(D152,품목마스터!$A$2:$A$300,0)),"※미등록"))</f>
        <v/>
      </c>
      <c r="F152" s="32"/>
      <c r="G152" s="33" t="str">
        <f>IF(D152="","",IFERROR(INDEX(품목마스터!$G$2:$G$300,MATCH(D152,품목마스터!$A$2:$A$300,0)),"※미등록"))</f>
        <v/>
      </c>
      <c r="H152" s="31"/>
      <c r="I152" s="32"/>
      <c r="J152" s="32"/>
    </row>
    <row r="153" spans="1:10" ht="15" customHeight="1">
      <c r="A153" s="30"/>
      <c r="B153" s="32"/>
      <c r="C153" s="32"/>
      <c r="D153" s="30"/>
      <c r="E153" s="33" t="str">
        <f>IF(D153="","",IFERROR(INDEX(품목마스터!$B$2:$B$300,MATCH(D153,품목마스터!$A$2:$A$300,0)),"※미등록"))</f>
        <v/>
      </c>
      <c r="F153" s="32"/>
      <c r="G153" s="33" t="str">
        <f>IF(D153="","",IFERROR(INDEX(품목마스터!$G$2:$G$300,MATCH(D153,품목마스터!$A$2:$A$300,0)),"※미등록"))</f>
        <v/>
      </c>
      <c r="H153" s="31"/>
      <c r="I153" s="32"/>
      <c r="J153" s="32"/>
    </row>
    <row r="154" spans="1:10" ht="15" customHeight="1">
      <c r="A154" s="30"/>
      <c r="B154" s="32"/>
      <c r="C154" s="32"/>
      <c r="D154" s="30"/>
      <c r="E154" s="33" t="str">
        <f>IF(D154="","",IFERROR(INDEX(품목마스터!$B$2:$B$300,MATCH(D154,품목마스터!$A$2:$A$300,0)),"※미등록"))</f>
        <v/>
      </c>
      <c r="F154" s="32"/>
      <c r="G154" s="33" t="str">
        <f>IF(D154="","",IFERROR(INDEX(품목마스터!$G$2:$G$300,MATCH(D154,품목마스터!$A$2:$A$300,0)),"※미등록"))</f>
        <v/>
      </c>
      <c r="H154" s="31"/>
      <c r="I154" s="32"/>
      <c r="J154" s="32"/>
    </row>
    <row r="155" spans="1:10" ht="15" customHeight="1">
      <c r="A155" s="30"/>
      <c r="B155" s="32"/>
      <c r="C155" s="32"/>
      <c r="D155" s="30"/>
      <c r="E155" s="33" t="str">
        <f>IF(D155="","",IFERROR(INDEX(품목마스터!$B$2:$B$300,MATCH(D155,품목마스터!$A$2:$A$300,0)),"※미등록"))</f>
        <v/>
      </c>
      <c r="F155" s="32"/>
      <c r="G155" s="33" t="str">
        <f>IF(D155="","",IFERROR(INDEX(품목마스터!$G$2:$G$300,MATCH(D155,품목마스터!$A$2:$A$300,0)),"※미등록"))</f>
        <v/>
      </c>
      <c r="H155" s="31"/>
      <c r="I155" s="32"/>
      <c r="J155" s="32"/>
    </row>
    <row r="156" spans="1:10" ht="15" customHeight="1">
      <c r="A156" s="30"/>
      <c r="B156" s="32"/>
      <c r="C156" s="32"/>
      <c r="D156" s="30"/>
      <c r="E156" s="33" t="str">
        <f>IF(D156="","",IFERROR(INDEX(품목마스터!$B$2:$B$300,MATCH(D156,품목마스터!$A$2:$A$300,0)),"※미등록"))</f>
        <v/>
      </c>
      <c r="F156" s="32"/>
      <c r="G156" s="33" t="str">
        <f>IF(D156="","",IFERROR(INDEX(품목마스터!$G$2:$G$300,MATCH(D156,품목마스터!$A$2:$A$300,0)),"※미등록"))</f>
        <v/>
      </c>
      <c r="H156" s="31"/>
      <c r="I156" s="32"/>
      <c r="J156" s="32"/>
    </row>
    <row r="157" spans="1:10" ht="15" customHeight="1">
      <c r="A157" s="30"/>
      <c r="B157" s="32"/>
      <c r="C157" s="32"/>
      <c r="D157" s="30"/>
      <c r="E157" s="33" t="str">
        <f>IF(D157="","",IFERROR(INDEX(품목마스터!$B$2:$B$300,MATCH(D157,품목마스터!$A$2:$A$300,0)),"※미등록"))</f>
        <v/>
      </c>
      <c r="F157" s="32"/>
      <c r="G157" s="33" t="str">
        <f>IF(D157="","",IFERROR(INDEX(품목마스터!$G$2:$G$300,MATCH(D157,품목마스터!$A$2:$A$300,0)),"※미등록"))</f>
        <v/>
      </c>
      <c r="H157" s="31"/>
      <c r="I157" s="32"/>
      <c r="J157" s="32"/>
    </row>
    <row r="158" spans="1:10" ht="15" customHeight="1">
      <c r="A158" s="30"/>
      <c r="B158" s="32"/>
      <c r="C158" s="32"/>
      <c r="D158" s="30"/>
      <c r="E158" s="33" t="str">
        <f>IF(D158="","",IFERROR(INDEX(품목마스터!$B$2:$B$300,MATCH(D158,품목마스터!$A$2:$A$300,0)),"※미등록"))</f>
        <v/>
      </c>
      <c r="F158" s="32"/>
      <c r="G158" s="33" t="str">
        <f>IF(D158="","",IFERROR(INDEX(품목마스터!$G$2:$G$300,MATCH(D158,품목마스터!$A$2:$A$300,0)),"※미등록"))</f>
        <v/>
      </c>
      <c r="H158" s="31"/>
      <c r="I158" s="32"/>
      <c r="J158" s="32"/>
    </row>
    <row r="159" spans="1:10" ht="15" customHeight="1">
      <c r="A159" s="30"/>
      <c r="B159" s="32"/>
      <c r="C159" s="32"/>
      <c r="D159" s="30"/>
      <c r="E159" s="33" t="str">
        <f>IF(D159="","",IFERROR(INDEX(품목마스터!$B$2:$B$300,MATCH(D159,품목마스터!$A$2:$A$300,0)),"※미등록"))</f>
        <v/>
      </c>
      <c r="F159" s="32"/>
      <c r="G159" s="33" t="str">
        <f>IF(D159="","",IFERROR(INDEX(품목마스터!$G$2:$G$300,MATCH(D159,품목마스터!$A$2:$A$300,0)),"※미등록"))</f>
        <v/>
      </c>
      <c r="H159" s="31"/>
      <c r="I159" s="32"/>
      <c r="J159" s="32"/>
    </row>
    <row r="160" spans="1:10" ht="15" customHeight="1">
      <c r="A160" s="30"/>
      <c r="B160" s="32"/>
      <c r="C160" s="32"/>
      <c r="D160" s="30"/>
      <c r="E160" s="33" t="str">
        <f>IF(D160="","",IFERROR(INDEX(품목마스터!$B$2:$B$300,MATCH(D160,품목마스터!$A$2:$A$300,0)),"※미등록"))</f>
        <v/>
      </c>
      <c r="F160" s="32"/>
      <c r="G160" s="33" t="str">
        <f>IF(D160="","",IFERROR(INDEX(품목마스터!$G$2:$G$300,MATCH(D160,품목마스터!$A$2:$A$300,0)),"※미등록"))</f>
        <v/>
      </c>
      <c r="H160" s="31"/>
      <c r="I160" s="32"/>
      <c r="J160" s="32"/>
    </row>
    <row r="161" spans="1:10" ht="15" customHeight="1">
      <c r="A161" s="30"/>
      <c r="B161" s="32"/>
      <c r="C161" s="32"/>
      <c r="D161" s="30"/>
      <c r="E161" s="33" t="str">
        <f>IF(D161="","",IFERROR(INDEX(품목마스터!$B$2:$B$300,MATCH(D161,품목마스터!$A$2:$A$300,0)),"※미등록"))</f>
        <v/>
      </c>
      <c r="F161" s="32"/>
      <c r="G161" s="33" t="str">
        <f>IF(D161="","",IFERROR(INDEX(품목마스터!$G$2:$G$300,MATCH(D161,품목마스터!$A$2:$A$300,0)),"※미등록"))</f>
        <v/>
      </c>
      <c r="H161" s="31"/>
      <c r="I161" s="32"/>
      <c r="J161" s="32"/>
    </row>
    <row r="162" spans="1:10" ht="15" customHeight="1">
      <c r="A162" s="30"/>
      <c r="B162" s="32"/>
      <c r="C162" s="32"/>
      <c r="D162" s="30"/>
      <c r="E162" s="33" t="str">
        <f>IF(D162="","",IFERROR(INDEX(품목마스터!$B$2:$B$300,MATCH(D162,품목마스터!$A$2:$A$300,0)),"※미등록"))</f>
        <v/>
      </c>
      <c r="F162" s="32"/>
      <c r="G162" s="33" t="str">
        <f>IF(D162="","",IFERROR(INDEX(품목마스터!$G$2:$G$300,MATCH(D162,품목마스터!$A$2:$A$300,0)),"※미등록"))</f>
        <v/>
      </c>
      <c r="H162" s="31"/>
      <c r="I162" s="32"/>
      <c r="J162" s="32"/>
    </row>
    <row r="163" spans="1:10" ht="15" customHeight="1">
      <c r="A163" s="30"/>
      <c r="B163" s="32"/>
      <c r="C163" s="32"/>
      <c r="D163" s="30"/>
      <c r="E163" s="33" t="str">
        <f>IF(D163="","",IFERROR(INDEX(품목마스터!$B$2:$B$300,MATCH(D163,품목마스터!$A$2:$A$300,0)),"※미등록"))</f>
        <v/>
      </c>
      <c r="F163" s="32"/>
      <c r="G163" s="33" t="str">
        <f>IF(D163="","",IFERROR(INDEX(품목마스터!$G$2:$G$300,MATCH(D163,품목마스터!$A$2:$A$300,0)),"※미등록"))</f>
        <v/>
      </c>
      <c r="H163" s="31"/>
      <c r="I163" s="32"/>
      <c r="J163" s="32"/>
    </row>
    <row r="164" spans="1:10" ht="15" customHeight="1">
      <c r="A164" s="30"/>
      <c r="B164" s="32"/>
      <c r="C164" s="32"/>
      <c r="D164" s="30"/>
      <c r="E164" s="33" t="str">
        <f>IF(D164="","",IFERROR(INDEX(품목마스터!$B$2:$B$300,MATCH(D164,품목마스터!$A$2:$A$300,0)),"※미등록"))</f>
        <v/>
      </c>
      <c r="F164" s="32"/>
      <c r="G164" s="33" t="str">
        <f>IF(D164="","",IFERROR(INDEX(품목마스터!$G$2:$G$300,MATCH(D164,품목마스터!$A$2:$A$300,0)),"※미등록"))</f>
        <v/>
      </c>
      <c r="H164" s="31"/>
      <c r="I164" s="32"/>
      <c r="J164" s="32"/>
    </row>
    <row r="165" spans="1:10" ht="15" customHeight="1">
      <c r="A165" s="30"/>
      <c r="B165" s="32"/>
      <c r="C165" s="32"/>
      <c r="D165" s="30"/>
      <c r="E165" s="33" t="str">
        <f>IF(D165="","",IFERROR(INDEX(품목마스터!$B$2:$B$300,MATCH(D165,품목마스터!$A$2:$A$300,0)),"※미등록"))</f>
        <v/>
      </c>
      <c r="F165" s="32"/>
      <c r="G165" s="33" t="str">
        <f>IF(D165="","",IFERROR(INDEX(품목마스터!$G$2:$G$300,MATCH(D165,품목마스터!$A$2:$A$300,0)),"※미등록"))</f>
        <v/>
      </c>
      <c r="H165" s="31"/>
      <c r="I165" s="32"/>
      <c r="J165" s="32"/>
    </row>
    <row r="166" spans="1:10" ht="15" customHeight="1">
      <c r="A166" s="30"/>
      <c r="B166" s="32"/>
      <c r="C166" s="32"/>
      <c r="D166" s="30"/>
      <c r="E166" s="33" t="str">
        <f>IF(D166="","",IFERROR(INDEX(품목마스터!$B$2:$B$300,MATCH(D166,품목마스터!$A$2:$A$300,0)),"※미등록"))</f>
        <v/>
      </c>
      <c r="F166" s="32"/>
      <c r="G166" s="33" t="str">
        <f>IF(D166="","",IFERROR(INDEX(품목마스터!$G$2:$G$300,MATCH(D166,품목마스터!$A$2:$A$300,0)),"※미등록"))</f>
        <v/>
      </c>
      <c r="H166" s="31"/>
      <c r="I166" s="32"/>
      <c r="J166" s="32"/>
    </row>
    <row r="167" spans="1:10" ht="15" customHeight="1">
      <c r="A167" s="30"/>
      <c r="B167" s="32"/>
      <c r="C167" s="32"/>
      <c r="D167" s="30"/>
      <c r="E167" s="33" t="str">
        <f>IF(D167="","",IFERROR(INDEX(품목마스터!$B$2:$B$300,MATCH(D167,품목마스터!$A$2:$A$300,0)),"※미등록"))</f>
        <v/>
      </c>
      <c r="F167" s="32"/>
      <c r="G167" s="33" t="str">
        <f>IF(D167="","",IFERROR(INDEX(품목마스터!$G$2:$G$300,MATCH(D167,품목마스터!$A$2:$A$300,0)),"※미등록"))</f>
        <v/>
      </c>
      <c r="H167" s="31"/>
      <c r="I167" s="32"/>
      <c r="J167" s="32"/>
    </row>
    <row r="168" spans="1:10" ht="15" customHeight="1">
      <c r="A168" s="30"/>
      <c r="B168" s="32"/>
      <c r="C168" s="32"/>
      <c r="D168" s="30"/>
      <c r="E168" s="33" t="str">
        <f>IF(D168="","",IFERROR(INDEX(품목마스터!$B$2:$B$300,MATCH(D168,품목마스터!$A$2:$A$300,0)),"※미등록"))</f>
        <v/>
      </c>
      <c r="F168" s="32"/>
      <c r="G168" s="33" t="str">
        <f>IF(D168="","",IFERROR(INDEX(품목마스터!$G$2:$G$300,MATCH(D168,품목마스터!$A$2:$A$300,0)),"※미등록"))</f>
        <v/>
      </c>
      <c r="H168" s="31"/>
      <c r="I168" s="32"/>
      <c r="J168" s="32"/>
    </row>
    <row r="169" spans="1:10" ht="15" customHeight="1">
      <c r="A169" s="30"/>
      <c r="B169" s="32"/>
      <c r="C169" s="32"/>
      <c r="D169" s="30"/>
      <c r="E169" s="33" t="str">
        <f>IF(D169="","",IFERROR(INDEX(품목마스터!$B$2:$B$300,MATCH(D169,품목마스터!$A$2:$A$300,0)),"※미등록"))</f>
        <v/>
      </c>
      <c r="F169" s="32"/>
      <c r="G169" s="33" t="str">
        <f>IF(D169="","",IFERROR(INDEX(품목마스터!$G$2:$G$300,MATCH(D169,품목마스터!$A$2:$A$300,0)),"※미등록"))</f>
        <v/>
      </c>
      <c r="H169" s="31"/>
      <c r="I169" s="32"/>
      <c r="J169" s="32"/>
    </row>
    <row r="170" spans="1:10" ht="15" customHeight="1">
      <c r="A170" s="30"/>
      <c r="B170" s="32"/>
      <c r="C170" s="32"/>
      <c r="D170" s="30"/>
      <c r="E170" s="33" t="str">
        <f>IF(D170="","",IFERROR(INDEX(품목마스터!$B$2:$B$300,MATCH(D170,품목마스터!$A$2:$A$300,0)),"※미등록"))</f>
        <v/>
      </c>
      <c r="F170" s="32"/>
      <c r="G170" s="33" t="str">
        <f>IF(D170="","",IFERROR(INDEX(품목마스터!$G$2:$G$300,MATCH(D170,품목마스터!$A$2:$A$300,0)),"※미등록"))</f>
        <v/>
      </c>
      <c r="H170" s="31"/>
      <c r="I170" s="32"/>
      <c r="J170" s="32"/>
    </row>
    <row r="171" spans="1:10" ht="15" customHeight="1">
      <c r="A171" s="30"/>
      <c r="B171" s="32"/>
      <c r="C171" s="32"/>
      <c r="D171" s="30"/>
      <c r="E171" s="33" t="str">
        <f>IF(D171="","",IFERROR(INDEX(품목마스터!$B$2:$B$300,MATCH(D171,품목마스터!$A$2:$A$300,0)),"※미등록"))</f>
        <v/>
      </c>
      <c r="F171" s="32"/>
      <c r="G171" s="33" t="str">
        <f>IF(D171="","",IFERROR(INDEX(품목마스터!$G$2:$G$300,MATCH(D171,품목마스터!$A$2:$A$300,0)),"※미등록"))</f>
        <v/>
      </c>
      <c r="H171" s="31"/>
      <c r="I171" s="32"/>
      <c r="J171" s="32"/>
    </row>
    <row r="172" spans="1:10" ht="15" customHeight="1">
      <c r="A172" s="30"/>
      <c r="B172" s="32"/>
      <c r="C172" s="32"/>
      <c r="D172" s="30"/>
      <c r="E172" s="33" t="str">
        <f>IF(D172="","",IFERROR(INDEX(품목마스터!$B$2:$B$300,MATCH(D172,품목마스터!$A$2:$A$300,0)),"※미등록"))</f>
        <v/>
      </c>
      <c r="F172" s="32"/>
      <c r="G172" s="33" t="str">
        <f>IF(D172="","",IFERROR(INDEX(품목마스터!$G$2:$G$300,MATCH(D172,품목마스터!$A$2:$A$300,0)),"※미등록"))</f>
        <v/>
      </c>
      <c r="H172" s="31"/>
      <c r="I172" s="32"/>
      <c r="J172" s="32"/>
    </row>
    <row r="173" spans="1:10" ht="15" customHeight="1">
      <c r="A173" s="30"/>
      <c r="B173" s="32"/>
      <c r="C173" s="32"/>
      <c r="D173" s="30"/>
      <c r="E173" s="33" t="str">
        <f>IF(D173="","",IFERROR(INDEX(품목마스터!$B$2:$B$300,MATCH(D173,품목마스터!$A$2:$A$300,0)),"※미등록"))</f>
        <v/>
      </c>
      <c r="F173" s="32"/>
      <c r="G173" s="33" t="str">
        <f>IF(D173="","",IFERROR(INDEX(품목마스터!$G$2:$G$300,MATCH(D173,품목마스터!$A$2:$A$300,0)),"※미등록"))</f>
        <v/>
      </c>
      <c r="H173" s="31"/>
      <c r="I173" s="32"/>
      <c r="J173" s="32"/>
    </row>
    <row r="174" spans="1:10" ht="15" customHeight="1">
      <c r="A174" s="30"/>
      <c r="B174" s="32"/>
      <c r="C174" s="32"/>
      <c r="D174" s="30"/>
      <c r="E174" s="33" t="str">
        <f>IF(D174="","",IFERROR(INDEX(품목마스터!$B$2:$B$300,MATCH(D174,품목마스터!$A$2:$A$300,0)),"※미등록"))</f>
        <v/>
      </c>
      <c r="F174" s="32"/>
      <c r="G174" s="33" t="str">
        <f>IF(D174="","",IFERROR(INDEX(품목마스터!$G$2:$G$300,MATCH(D174,품목마스터!$A$2:$A$300,0)),"※미등록"))</f>
        <v/>
      </c>
      <c r="H174" s="31"/>
      <c r="I174" s="32"/>
      <c r="J174" s="32"/>
    </row>
    <row r="175" spans="1:10" ht="15" customHeight="1">
      <c r="A175" s="30"/>
      <c r="B175" s="32"/>
      <c r="C175" s="32"/>
      <c r="D175" s="30"/>
      <c r="E175" s="33" t="str">
        <f>IF(D175="","",IFERROR(INDEX(품목마스터!$B$2:$B$300,MATCH(D175,품목마스터!$A$2:$A$300,0)),"※미등록"))</f>
        <v/>
      </c>
      <c r="F175" s="32"/>
      <c r="G175" s="33" t="str">
        <f>IF(D175="","",IFERROR(INDEX(품목마스터!$G$2:$G$300,MATCH(D175,품목마스터!$A$2:$A$300,0)),"※미등록"))</f>
        <v/>
      </c>
      <c r="H175" s="31"/>
      <c r="I175" s="32"/>
      <c r="J175" s="32"/>
    </row>
    <row r="176" spans="1:10" ht="15" customHeight="1">
      <c r="A176" s="30"/>
      <c r="B176" s="32"/>
      <c r="C176" s="32"/>
      <c r="D176" s="30"/>
      <c r="E176" s="33" t="str">
        <f>IF(D176="","",IFERROR(INDEX(품목마스터!$B$2:$B$300,MATCH(D176,품목마스터!$A$2:$A$300,0)),"※미등록"))</f>
        <v/>
      </c>
      <c r="F176" s="32"/>
      <c r="G176" s="33" t="str">
        <f>IF(D176="","",IFERROR(INDEX(품목마스터!$G$2:$G$300,MATCH(D176,품목마스터!$A$2:$A$300,0)),"※미등록"))</f>
        <v/>
      </c>
      <c r="H176" s="31"/>
      <c r="I176" s="32"/>
      <c r="J176" s="32"/>
    </row>
    <row r="177" spans="1:10" ht="15" customHeight="1">
      <c r="A177" s="30"/>
      <c r="B177" s="32"/>
      <c r="C177" s="32"/>
      <c r="D177" s="30"/>
      <c r="E177" s="33" t="str">
        <f>IF(D177="","",IFERROR(INDEX(품목마스터!$B$2:$B$300,MATCH(D177,품목마스터!$A$2:$A$300,0)),"※미등록"))</f>
        <v/>
      </c>
      <c r="F177" s="32"/>
      <c r="G177" s="33" t="str">
        <f>IF(D177="","",IFERROR(INDEX(품목마스터!$G$2:$G$300,MATCH(D177,품목마스터!$A$2:$A$300,0)),"※미등록"))</f>
        <v/>
      </c>
      <c r="H177" s="31"/>
      <c r="I177" s="32"/>
      <c r="J177" s="32"/>
    </row>
    <row r="178" spans="1:10" ht="15" customHeight="1">
      <c r="A178" s="30"/>
      <c r="B178" s="32"/>
      <c r="C178" s="32"/>
      <c r="D178" s="30"/>
      <c r="E178" s="33" t="str">
        <f>IF(D178="","",IFERROR(INDEX(품목마스터!$B$2:$B$300,MATCH(D178,품목마스터!$A$2:$A$300,0)),"※미등록"))</f>
        <v/>
      </c>
      <c r="F178" s="32"/>
      <c r="G178" s="33" t="str">
        <f>IF(D178="","",IFERROR(INDEX(품목마스터!$G$2:$G$300,MATCH(D178,품목마스터!$A$2:$A$300,0)),"※미등록"))</f>
        <v/>
      </c>
      <c r="H178" s="31"/>
      <c r="I178" s="32"/>
      <c r="J178" s="32"/>
    </row>
    <row r="179" spans="1:10" ht="15" customHeight="1">
      <c r="A179" s="30"/>
      <c r="B179" s="32"/>
      <c r="C179" s="32"/>
      <c r="D179" s="30"/>
      <c r="E179" s="33" t="str">
        <f>IF(D179="","",IFERROR(INDEX(품목마스터!$B$2:$B$300,MATCH(D179,품목마스터!$A$2:$A$300,0)),"※미등록"))</f>
        <v/>
      </c>
      <c r="F179" s="32"/>
      <c r="G179" s="33" t="str">
        <f>IF(D179="","",IFERROR(INDEX(품목마스터!$G$2:$G$300,MATCH(D179,품목마스터!$A$2:$A$300,0)),"※미등록"))</f>
        <v/>
      </c>
      <c r="H179" s="31"/>
      <c r="I179" s="32"/>
      <c r="J179" s="32"/>
    </row>
    <row r="180" spans="1:10" ht="15" customHeight="1">
      <c r="A180" s="30"/>
      <c r="B180" s="32"/>
      <c r="C180" s="32"/>
      <c r="D180" s="30"/>
      <c r="E180" s="33" t="str">
        <f>IF(D180="","",IFERROR(INDEX(품목마스터!$B$2:$B$300,MATCH(D180,품목마스터!$A$2:$A$300,0)),"※미등록"))</f>
        <v/>
      </c>
      <c r="F180" s="32"/>
      <c r="G180" s="33" t="str">
        <f>IF(D180="","",IFERROR(INDEX(품목마스터!$G$2:$G$300,MATCH(D180,품목마스터!$A$2:$A$300,0)),"※미등록"))</f>
        <v/>
      </c>
      <c r="H180" s="31"/>
      <c r="I180" s="32"/>
      <c r="J180" s="32"/>
    </row>
    <row r="181" spans="1:10" ht="15" customHeight="1">
      <c r="A181" s="30"/>
      <c r="B181" s="32"/>
      <c r="C181" s="32"/>
      <c r="D181" s="30"/>
      <c r="E181" s="33" t="str">
        <f>IF(D181="","",IFERROR(INDEX(품목마스터!$B$2:$B$300,MATCH(D181,품목마스터!$A$2:$A$300,0)),"※미등록"))</f>
        <v/>
      </c>
      <c r="F181" s="32"/>
      <c r="G181" s="33" t="str">
        <f>IF(D181="","",IFERROR(INDEX(품목마스터!$G$2:$G$300,MATCH(D181,품목마스터!$A$2:$A$300,0)),"※미등록"))</f>
        <v/>
      </c>
      <c r="H181" s="31"/>
      <c r="I181" s="32"/>
      <c r="J181" s="32"/>
    </row>
    <row r="182" spans="1:10" ht="15" customHeight="1">
      <c r="A182" s="30"/>
      <c r="B182" s="32"/>
      <c r="C182" s="32"/>
      <c r="D182" s="30"/>
      <c r="E182" s="33" t="str">
        <f>IF(D182="","",IFERROR(INDEX(품목마스터!$B$2:$B$300,MATCH(D182,품목마스터!$A$2:$A$300,0)),"※미등록"))</f>
        <v/>
      </c>
      <c r="F182" s="32"/>
      <c r="G182" s="33" t="str">
        <f>IF(D182="","",IFERROR(INDEX(품목마스터!$G$2:$G$300,MATCH(D182,품목마스터!$A$2:$A$300,0)),"※미등록"))</f>
        <v/>
      </c>
      <c r="H182" s="31"/>
      <c r="I182" s="32"/>
      <c r="J182" s="32"/>
    </row>
    <row r="183" spans="1:10" ht="15" customHeight="1">
      <c r="A183" s="30"/>
      <c r="B183" s="32"/>
      <c r="C183" s="32"/>
      <c r="D183" s="30"/>
      <c r="E183" s="33" t="str">
        <f>IF(D183="","",IFERROR(INDEX(품목마스터!$B$2:$B$300,MATCH(D183,품목마스터!$A$2:$A$300,0)),"※미등록"))</f>
        <v/>
      </c>
      <c r="F183" s="32"/>
      <c r="G183" s="33" t="str">
        <f>IF(D183="","",IFERROR(INDEX(품목마스터!$G$2:$G$300,MATCH(D183,품목마스터!$A$2:$A$300,0)),"※미등록"))</f>
        <v/>
      </c>
      <c r="H183" s="31"/>
      <c r="I183" s="32"/>
      <c r="J183" s="32"/>
    </row>
    <row r="184" spans="1:10" ht="15" customHeight="1">
      <c r="A184" s="30"/>
      <c r="B184" s="32"/>
      <c r="C184" s="32"/>
      <c r="D184" s="30"/>
      <c r="E184" s="33" t="str">
        <f>IF(D184="","",IFERROR(INDEX(품목마스터!$B$2:$B$300,MATCH(D184,품목마스터!$A$2:$A$300,0)),"※미등록"))</f>
        <v/>
      </c>
      <c r="F184" s="32"/>
      <c r="G184" s="33" t="str">
        <f>IF(D184="","",IFERROR(INDEX(품목마스터!$G$2:$G$300,MATCH(D184,품목마스터!$A$2:$A$300,0)),"※미등록"))</f>
        <v/>
      </c>
      <c r="H184" s="31"/>
      <c r="I184" s="32"/>
      <c r="J184" s="32"/>
    </row>
    <row r="185" spans="1:10" ht="15" customHeight="1">
      <c r="A185" s="30"/>
      <c r="B185" s="32"/>
      <c r="C185" s="32"/>
      <c r="D185" s="30"/>
      <c r="E185" s="33" t="str">
        <f>IF(D185="","",IFERROR(INDEX(품목마스터!$B$2:$B$300,MATCH(D185,품목마스터!$A$2:$A$300,0)),"※미등록"))</f>
        <v/>
      </c>
      <c r="F185" s="32"/>
      <c r="G185" s="33" t="str">
        <f>IF(D185="","",IFERROR(INDEX(품목마스터!$G$2:$G$300,MATCH(D185,품목마스터!$A$2:$A$300,0)),"※미등록"))</f>
        <v/>
      </c>
      <c r="H185" s="31"/>
      <c r="I185" s="32"/>
      <c r="J185" s="32"/>
    </row>
    <row r="186" spans="1:10" ht="15" customHeight="1">
      <c r="A186" s="30"/>
      <c r="B186" s="32"/>
      <c r="C186" s="32"/>
      <c r="D186" s="30"/>
      <c r="E186" s="33" t="str">
        <f>IF(D186="","",IFERROR(INDEX(품목마스터!$B$2:$B$300,MATCH(D186,품목마스터!$A$2:$A$300,0)),"※미등록"))</f>
        <v/>
      </c>
      <c r="F186" s="32"/>
      <c r="G186" s="33" t="str">
        <f>IF(D186="","",IFERROR(INDEX(품목마스터!$G$2:$G$300,MATCH(D186,품목마스터!$A$2:$A$300,0)),"※미등록"))</f>
        <v/>
      </c>
      <c r="H186" s="31"/>
      <c r="I186" s="32"/>
      <c r="J186" s="32"/>
    </row>
    <row r="187" spans="1:10" ht="15" customHeight="1">
      <c r="A187" s="30"/>
      <c r="B187" s="32"/>
      <c r="C187" s="32"/>
      <c r="D187" s="30"/>
      <c r="E187" s="33" t="str">
        <f>IF(D187="","",IFERROR(INDEX(품목마스터!$B$2:$B$300,MATCH(D187,품목마스터!$A$2:$A$300,0)),"※미등록"))</f>
        <v/>
      </c>
      <c r="F187" s="32"/>
      <c r="G187" s="33" t="str">
        <f>IF(D187="","",IFERROR(INDEX(품목마스터!$G$2:$G$300,MATCH(D187,품목마스터!$A$2:$A$300,0)),"※미등록"))</f>
        <v/>
      </c>
      <c r="H187" s="31"/>
      <c r="I187" s="32"/>
      <c r="J187" s="32"/>
    </row>
    <row r="188" spans="1:10" ht="15" customHeight="1">
      <c r="A188" s="30"/>
      <c r="B188" s="32"/>
      <c r="C188" s="32"/>
      <c r="D188" s="30"/>
      <c r="E188" s="33" t="str">
        <f>IF(D188="","",IFERROR(INDEX(품목마스터!$B$2:$B$300,MATCH(D188,품목마스터!$A$2:$A$300,0)),"※미등록"))</f>
        <v/>
      </c>
      <c r="F188" s="32"/>
      <c r="G188" s="33" t="str">
        <f>IF(D188="","",IFERROR(INDEX(품목마스터!$G$2:$G$300,MATCH(D188,품목마스터!$A$2:$A$300,0)),"※미등록"))</f>
        <v/>
      </c>
      <c r="H188" s="31"/>
      <c r="I188" s="32"/>
      <c r="J188" s="32"/>
    </row>
    <row r="189" spans="1:10" ht="15" customHeight="1">
      <c r="A189" s="30"/>
      <c r="B189" s="32"/>
      <c r="C189" s="32"/>
      <c r="D189" s="30"/>
      <c r="E189" s="33" t="str">
        <f>IF(D189="","",IFERROR(INDEX(품목마스터!$B$2:$B$300,MATCH(D189,품목마스터!$A$2:$A$300,0)),"※미등록"))</f>
        <v/>
      </c>
      <c r="F189" s="32"/>
      <c r="G189" s="33" t="str">
        <f>IF(D189="","",IFERROR(INDEX(품목마스터!$G$2:$G$300,MATCH(D189,품목마스터!$A$2:$A$300,0)),"※미등록"))</f>
        <v/>
      </c>
      <c r="H189" s="31"/>
      <c r="I189" s="32"/>
      <c r="J189" s="32"/>
    </row>
    <row r="190" spans="1:10" ht="15" customHeight="1">
      <c r="A190" s="30"/>
      <c r="B190" s="32"/>
      <c r="C190" s="32"/>
      <c r="D190" s="30"/>
      <c r="E190" s="33" t="str">
        <f>IF(D190="","",IFERROR(INDEX(품목마스터!$B$2:$B$300,MATCH(D190,품목마스터!$A$2:$A$300,0)),"※미등록"))</f>
        <v/>
      </c>
      <c r="F190" s="32"/>
      <c r="G190" s="33" t="str">
        <f>IF(D190="","",IFERROR(INDEX(품목마스터!$G$2:$G$300,MATCH(D190,품목마스터!$A$2:$A$300,0)),"※미등록"))</f>
        <v/>
      </c>
      <c r="H190" s="31"/>
      <c r="I190" s="32"/>
      <c r="J190" s="32"/>
    </row>
    <row r="191" spans="1:10" ht="15" customHeight="1">
      <c r="A191" s="30"/>
      <c r="B191" s="32"/>
      <c r="C191" s="32"/>
      <c r="D191" s="30"/>
      <c r="E191" s="33" t="str">
        <f>IF(D191="","",IFERROR(INDEX(품목마스터!$B$2:$B$300,MATCH(D191,품목마스터!$A$2:$A$300,0)),"※미등록"))</f>
        <v/>
      </c>
      <c r="F191" s="32"/>
      <c r="G191" s="33" t="str">
        <f>IF(D191="","",IFERROR(INDEX(품목마스터!$G$2:$G$300,MATCH(D191,품목마스터!$A$2:$A$300,0)),"※미등록"))</f>
        <v/>
      </c>
      <c r="H191" s="31"/>
      <c r="I191" s="32"/>
      <c r="J191" s="32"/>
    </row>
    <row r="192" spans="1:10" ht="15" customHeight="1">
      <c r="A192" s="30"/>
      <c r="B192" s="32"/>
      <c r="C192" s="32"/>
      <c r="D192" s="30"/>
      <c r="E192" s="33" t="str">
        <f>IF(D192="","",IFERROR(INDEX(품목마스터!$B$2:$B$300,MATCH(D192,품목마스터!$A$2:$A$300,0)),"※미등록"))</f>
        <v/>
      </c>
      <c r="F192" s="32"/>
      <c r="G192" s="33" t="str">
        <f>IF(D192="","",IFERROR(INDEX(품목마스터!$G$2:$G$300,MATCH(D192,품목마스터!$A$2:$A$300,0)),"※미등록"))</f>
        <v/>
      </c>
      <c r="H192" s="31"/>
      <c r="I192" s="32"/>
      <c r="J192" s="32"/>
    </row>
    <row r="193" spans="1:10" ht="15" customHeight="1">
      <c r="A193" s="30"/>
      <c r="B193" s="32"/>
      <c r="C193" s="32"/>
      <c r="D193" s="30"/>
      <c r="E193" s="33" t="str">
        <f>IF(D193="","",IFERROR(INDEX(품목마스터!$B$2:$B$300,MATCH(D193,품목마스터!$A$2:$A$300,0)),"※미등록"))</f>
        <v/>
      </c>
      <c r="F193" s="32"/>
      <c r="G193" s="33" t="str">
        <f>IF(D193="","",IFERROR(INDEX(품목마스터!$G$2:$G$300,MATCH(D193,품목마스터!$A$2:$A$300,0)),"※미등록"))</f>
        <v/>
      </c>
      <c r="H193" s="31"/>
      <c r="I193" s="32"/>
      <c r="J193" s="32"/>
    </row>
    <row r="194" spans="1:10" ht="15" customHeight="1">
      <c r="A194" s="30"/>
      <c r="B194" s="32"/>
      <c r="C194" s="32"/>
      <c r="D194" s="30"/>
      <c r="E194" s="33" t="str">
        <f>IF(D194="","",IFERROR(INDEX(품목마스터!$B$2:$B$300,MATCH(D194,품목마스터!$A$2:$A$300,0)),"※미등록"))</f>
        <v/>
      </c>
      <c r="F194" s="32"/>
      <c r="G194" s="33" t="str">
        <f>IF(D194="","",IFERROR(INDEX(품목마스터!$G$2:$G$300,MATCH(D194,품목마스터!$A$2:$A$300,0)),"※미등록"))</f>
        <v/>
      </c>
      <c r="H194" s="31"/>
      <c r="I194" s="32"/>
      <c r="J194" s="32"/>
    </row>
    <row r="195" spans="1:10" ht="15" customHeight="1">
      <c r="A195" s="30"/>
      <c r="B195" s="32"/>
      <c r="C195" s="32"/>
      <c r="D195" s="30"/>
      <c r="E195" s="33" t="str">
        <f>IF(D195="","",IFERROR(INDEX(품목마스터!$B$2:$B$300,MATCH(D195,품목마스터!$A$2:$A$300,0)),"※미등록"))</f>
        <v/>
      </c>
      <c r="F195" s="32"/>
      <c r="G195" s="33" t="str">
        <f>IF(D195="","",IFERROR(INDEX(품목마스터!$G$2:$G$300,MATCH(D195,품목마스터!$A$2:$A$300,0)),"※미등록"))</f>
        <v/>
      </c>
      <c r="H195" s="31"/>
      <c r="I195" s="32"/>
      <c r="J195" s="32"/>
    </row>
    <row r="196" spans="1:10" ht="15" customHeight="1">
      <c r="A196" s="30"/>
      <c r="B196" s="32"/>
      <c r="C196" s="32"/>
      <c r="D196" s="30"/>
      <c r="E196" s="33" t="str">
        <f>IF(D196="","",IFERROR(INDEX(품목마스터!$B$2:$B$300,MATCH(D196,품목마스터!$A$2:$A$300,0)),"※미등록"))</f>
        <v/>
      </c>
      <c r="F196" s="32"/>
      <c r="G196" s="33" t="str">
        <f>IF(D196="","",IFERROR(INDEX(품목마스터!$G$2:$G$300,MATCH(D196,품목마스터!$A$2:$A$300,0)),"※미등록"))</f>
        <v/>
      </c>
      <c r="H196" s="31"/>
      <c r="I196" s="32"/>
      <c r="J196" s="32"/>
    </row>
    <row r="197" spans="1:10" ht="15" customHeight="1">
      <c r="A197" s="30"/>
      <c r="B197" s="32"/>
      <c r="C197" s="32"/>
      <c r="D197" s="30"/>
      <c r="E197" s="33" t="str">
        <f>IF(D197="","",IFERROR(INDEX(품목마스터!$B$2:$B$300,MATCH(D197,품목마스터!$A$2:$A$300,0)),"※미등록"))</f>
        <v/>
      </c>
      <c r="F197" s="32"/>
      <c r="G197" s="33" t="str">
        <f>IF(D197="","",IFERROR(INDEX(품목마스터!$G$2:$G$300,MATCH(D197,품목마스터!$A$2:$A$300,0)),"※미등록"))</f>
        <v/>
      </c>
      <c r="H197" s="31"/>
      <c r="I197" s="32"/>
      <c r="J197" s="32"/>
    </row>
    <row r="198" spans="1:10" ht="15" customHeight="1">
      <c r="A198" s="30"/>
      <c r="B198" s="32"/>
      <c r="C198" s="32"/>
      <c r="D198" s="30"/>
      <c r="E198" s="33" t="str">
        <f>IF(D198="","",IFERROR(INDEX(품목마스터!$B$2:$B$300,MATCH(D198,품목마스터!$A$2:$A$300,0)),"※미등록"))</f>
        <v/>
      </c>
      <c r="F198" s="32"/>
      <c r="G198" s="33" t="str">
        <f>IF(D198="","",IFERROR(INDEX(품목마스터!$G$2:$G$300,MATCH(D198,품목마스터!$A$2:$A$300,0)),"※미등록"))</f>
        <v/>
      </c>
      <c r="H198" s="31"/>
      <c r="I198" s="32"/>
      <c r="J198" s="32"/>
    </row>
    <row r="199" spans="1:10" ht="15" customHeight="1">
      <c r="A199" s="30"/>
      <c r="B199" s="32"/>
      <c r="C199" s="32"/>
      <c r="D199" s="30"/>
      <c r="E199" s="33" t="str">
        <f>IF(D199="","",IFERROR(INDEX(품목마스터!$B$2:$B$300,MATCH(D199,품목마스터!$A$2:$A$300,0)),"※미등록"))</f>
        <v/>
      </c>
      <c r="F199" s="32"/>
      <c r="G199" s="33" t="str">
        <f>IF(D199="","",IFERROR(INDEX(품목마스터!$G$2:$G$300,MATCH(D199,품목마스터!$A$2:$A$300,0)),"※미등록"))</f>
        <v/>
      </c>
      <c r="H199" s="31"/>
      <c r="I199" s="32"/>
      <c r="J199" s="32"/>
    </row>
    <row r="200" spans="1:10" ht="15" customHeight="1">
      <c r="A200" s="30"/>
      <c r="B200" s="32"/>
      <c r="C200" s="32"/>
      <c r="D200" s="30"/>
      <c r="E200" s="33" t="str">
        <f>IF(D200="","",IFERROR(INDEX(품목마스터!$B$2:$B$300,MATCH(D200,품목마스터!$A$2:$A$300,0)),"※미등록"))</f>
        <v/>
      </c>
      <c r="F200" s="32"/>
      <c r="G200" s="33" t="str">
        <f>IF(D200="","",IFERROR(INDEX(품목마스터!$G$2:$G$300,MATCH(D200,품목마스터!$A$2:$A$300,0)),"※미등록"))</f>
        <v/>
      </c>
      <c r="H200" s="31"/>
      <c r="I200" s="32"/>
      <c r="J200" s="32"/>
    </row>
    <row r="201" spans="1:10" ht="15" customHeight="1">
      <c r="A201" s="30"/>
      <c r="B201" s="32"/>
      <c r="C201" s="32"/>
      <c r="D201" s="30"/>
      <c r="E201" s="33" t="str">
        <f>IF(D201="","",IFERROR(INDEX(품목마스터!$B$2:$B$300,MATCH(D201,품목마스터!$A$2:$A$300,0)),"※미등록"))</f>
        <v/>
      </c>
      <c r="F201" s="32"/>
      <c r="G201" s="33" t="str">
        <f>IF(D201="","",IFERROR(INDEX(품목마스터!$G$2:$G$300,MATCH(D201,품목마스터!$A$2:$A$300,0)),"※미등록"))</f>
        <v/>
      </c>
      <c r="H201" s="31"/>
      <c r="I201" s="32"/>
      <c r="J201" s="32"/>
    </row>
    <row r="202" spans="1:10" ht="15" customHeight="1">
      <c r="A202" s="30"/>
      <c r="B202" s="32"/>
      <c r="C202" s="32"/>
      <c r="D202" s="30"/>
      <c r="E202" s="33" t="str">
        <f>IF(D202="","",IFERROR(INDEX(품목마스터!$B$2:$B$300,MATCH(D202,품목마스터!$A$2:$A$300,0)),"※미등록"))</f>
        <v/>
      </c>
      <c r="F202" s="32"/>
      <c r="G202" s="33" t="str">
        <f>IF(D202="","",IFERROR(INDEX(품목마스터!$G$2:$G$300,MATCH(D202,품목마스터!$A$2:$A$300,0)),"※미등록"))</f>
        <v/>
      </c>
      <c r="H202" s="31"/>
      <c r="I202" s="32"/>
      <c r="J202" s="32"/>
    </row>
    <row r="203" spans="1:10" ht="15" customHeight="1">
      <c r="A203" s="30"/>
      <c r="B203" s="32"/>
      <c r="C203" s="32"/>
      <c r="D203" s="30"/>
      <c r="E203" s="33" t="str">
        <f>IF(D203="","",IFERROR(INDEX(품목마스터!$B$2:$B$300,MATCH(D203,품목마스터!$A$2:$A$300,0)),"※미등록"))</f>
        <v/>
      </c>
      <c r="F203" s="32"/>
      <c r="G203" s="33" t="str">
        <f>IF(D203="","",IFERROR(INDEX(품목마스터!$G$2:$G$300,MATCH(D203,품목마스터!$A$2:$A$300,0)),"※미등록"))</f>
        <v/>
      </c>
      <c r="H203" s="31"/>
      <c r="I203" s="32"/>
      <c r="J203" s="32"/>
    </row>
    <row r="204" spans="1:10" ht="15" customHeight="1">
      <c r="A204" s="30"/>
      <c r="B204" s="32"/>
      <c r="C204" s="32"/>
      <c r="D204" s="30"/>
      <c r="E204" s="33" t="str">
        <f>IF(D204="","",IFERROR(INDEX(품목마스터!$B$2:$B$300,MATCH(D204,품목마스터!$A$2:$A$300,0)),"※미등록"))</f>
        <v/>
      </c>
      <c r="F204" s="32"/>
      <c r="G204" s="33" t="str">
        <f>IF(D204="","",IFERROR(INDEX(품목마스터!$G$2:$G$300,MATCH(D204,품목마스터!$A$2:$A$300,0)),"※미등록"))</f>
        <v/>
      </c>
      <c r="H204" s="31"/>
      <c r="I204" s="32"/>
      <c r="J204" s="32"/>
    </row>
    <row r="205" spans="1:10" ht="15" customHeight="1">
      <c r="A205" s="30"/>
      <c r="B205" s="32"/>
      <c r="C205" s="32"/>
      <c r="D205" s="30"/>
      <c r="E205" s="33" t="str">
        <f>IF(D205="","",IFERROR(INDEX(품목마스터!$B$2:$B$300,MATCH(D205,품목마스터!$A$2:$A$300,0)),"※미등록"))</f>
        <v/>
      </c>
      <c r="F205" s="32"/>
      <c r="G205" s="33" t="str">
        <f>IF(D205="","",IFERROR(INDEX(품목마스터!$G$2:$G$300,MATCH(D205,품목마스터!$A$2:$A$300,0)),"※미등록"))</f>
        <v/>
      </c>
      <c r="H205" s="31"/>
      <c r="I205" s="32"/>
      <c r="J205" s="32"/>
    </row>
    <row r="206" spans="1:10" ht="15" customHeight="1">
      <c r="A206" s="30"/>
      <c r="B206" s="32"/>
      <c r="C206" s="32"/>
      <c r="D206" s="30"/>
      <c r="E206" s="33" t="str">
        <f>IF(D206="","",IFERROR(INDEX(품목마스터!$B$2:$B$300,MATCH(D206,품목마스터!$A$2:$A$300,0)),"※미등록"))</f>
        <v/>
      </c>
      <c r="F206" s="32"/>
      <c r="G206" s="33" t="str">
        <f>IF(D206="","",IFERROR(INDEX(품목마스터!$G$2:$G$300,MATCH(D206,품목마스터!$A$2:$A$300,0)),"※미등록"))</f>
        <v/>
      </c>
      <c r="H206" s="31"/>
      <c r="I206" s="32"/>
      <c r="J206" s="32"/>
    </row>
    <row r="207" spans="1:10" ht="15" customHeight="1">
      <c r="A207" s="30"/>
      <c r="B207" s="32"/>
      <c r="C207" s="32"/>
      <c r="D207" s="30"/>
      <c r="E207" s="33" t="str">
        <f>IF(D207="","",IFERROR(INDEX(품목마스터!$B$2:$B$300,MATCH(D207,품목마스터!$A$2:$A$300,0)),"※미등록"))</f>
        <v/>
      </c>
      <c r="F207" s="32"/>
      <c r="G207" s="33" t="str">
        <f>IF(D207="","",IFERROR(INDEX(품목마스터!$G$2:$G$300,MATCH(D207,품목마스터!$A$2:$A$300,0)),"※미등록"))</f>
        <v/>
      </c>
      <c r="H207" s="31"/>
      <c r="I207" s="32"/>
      <c r="J207" s="32"/>
    </row>
    <row r="208" spans="1:10" ht="15" customHeight="1">
      <c r="A208" s="30"/>
      <c r="B208" s="32"/>
      <c r="C208" s="32"/>
      <c r="D208" s="30"/>
      <c r="E208" s="33" t="str">
        <f>IF(D208="","",IFERROR(INDEX(품목마스터!$B$2:$B$300,MATCH(D208,품목마스터!$A$2:$A$300,0)),"※미등록"))</f>
        <v/>
      </c>
      <c r="F208" s="32"/>
      <c r="G208" s="33" t="str">
        <f>IF(D208="","",IFERROR(INDEX(품목마스터!$G$2:$G$300,MATCH(D208,품목마스터!$A$2:$A$300,0)),"※미등록"))</f>
        <v/>
      </c>
      <c r="H208" s="31"/>
      <c r="I208" s="32"/>
      <c r="J208" s="32"/>
    </row>
    <row r="209" spans="1:10" ht="15" customHeight="1">
      <c r="A209" s="30"/>
      <c r="B209" s="32"/>
      <c r="C209" s="32"/>
      <c r="D209" s="30"/>
      <c r="E209" s="33" t="str">
        <f>IF(D209="","",IFERROR(INDEX(품목마스터!$B$2:$B$300,MATCH(D209,품목마스터!$A$2:$A$300,0)),"※미등록"))</f>
        <v/>
      </c>
      <c r="F209" s="32"/>
      <c r="G209" s="33" t="str">
        <f>IF(D209="","",IFERROR(INDEX(품목마스터!$G$2:$G$300,MATCH(D209,품목마스터!$A$2:$A$300,0)),"※미등록"))</f>
        <v/>
      </c>
      <c r="H209" s="31"/>
      <c r="I209" s="32"/>
      <c r="J209" s="32"/>
    </row>
    <row r="210" spans="1:10" ht="15" customHeight="1">
      <c r="A210" s="30"/>
      <c r="B210" s="32"/>
      <c r="C210" s="32"/>
      <c r="D210" s="30"/>
      <c r="E210" s="33" t="str">
        <f>IF(D210="","",IFERROR(INDEX(품목마스터!$B$2:$B$300,MATCH(D210,품목마스터!$A$2:$A$300,0)),"※미등록"))</f>
        <v/>
      </c>
      <c r="F210" s="32"/>
      <c r="G210" s="33" t="str">
        <f>IF(D210="","",IFERROR(INDEX(품목마스터!$G$2:$G$300,MATCH(D210,품목마스터!$A$2:$A$300,0)),"※미등록"))</f>
        <v/>
      </c>
      <c r="H210" s="31"/>
      <c r="I210" s="32"/>
      <c r="J210" s="32"/>
    </row>
    <row r="211" spans="1:10" ht="15" customHeight="1">
      <c r="A211" s="30"/>
      <c r="B211" s="32"/>
      <c r="C211" s="32"/>
      <c r="D211" s="30"/>
      <c r="E211" s="33" t="str">
        <f>IF(D211="","",IFERROR(INDEX(품목마스터!$B$2:$B$300,MATCH(D211,품목마스터!$A$2:$A$300,0)),"※미등록"))</f>
        <v/>
      </c>
      <c r="F211" s="32"/>
      <c r="G211" s="33" t="str">
        <f>IF(D211="","",IFERROR(INDEX(품목마스터!$G$2:$G$300,MATCH(D211,품목마스터!$A$2:$A$300,0)),"※미등록"))</f>
        <v/>
      </c>
      <c r="H211" s="31"/>
      <c r="I211" s="32"/>
      <c r="J211" s="32"/>
    </row>
    <row r="212" spans="1:10" ht="15" customHeight="1">
      <c r="A212" s="30"/>
      <c r="B212" s="32"/>
      <c r="C212" s="32"/>
      <c r="D212" s="30"/>
      <c r="E212" s="33" t="str">
        <f>IF(D212="","",IFERROR(INDEX(품목마스터!$B$2:$B$300,MATCH(D212,품목마스터!$A$2:$A$300,0)),"※미등록"))</f>
        <v/>
      </c>
      <c r="F212" s="32"/>
      <c r="G212" s="33" t="str">
        <f>IF(D212="","",IFERROR(INDEX(품목마스터!$G$2:$G$300,MATCH(D212,품목마스터!$A$2:$A$300,0)),"※미등록"))</f>
        <v/>
      </c>
      <c r="H212" s="31"/>
      <c r="I212" s="32"/>
      <c r="J212" s="32"/>
    </row>
    <row r="213" spans="1:10" ht="15" customHeight="1">
      <c r="A213" s="30"/>
      <c r="B213" s="32"/>
      <c r="C213" s="32"/>
      <c r="D213" s="30"/>
      <c r="E213" s="33" t="str">
        <f>IF(D213="","",IFERROR(INDEX(품목마스터!$B$2:$B$300,MATCH(D213,품목마스터!$A$2:$A$300,0)),"※미등록"))</f>
        <v/>
      </c>
      <c r="F213" s="32"/>
      <c r="G213" s="33" t="str">
        <f>IF(D213="","",IFERROR(INDEX(품목마스터!$G$2:$G$300,MATCH(D213,품목마스터!$A$2:$A$300,0)),"※미등록"))</f>
        <v/>
      </c>
      <c r="H213" s="31"/>
      <c r="I213" s="32"/>
      <c r="J213" s="32"/>
    </row>
    <row r="214" spans="1:10" ht="15" customHeight="1">
      <c r="A214" s="30"/>
      <c r="B214" s="32"/>
      <c r="C214" s="32"/>
      <c r="D214" s="30"/>
      <c r="E214" s="33" t="str">
        <f>IF(D214="","",IFERROR(INDEX(품목마스터!$B$2:$B$300,MATCH(D214,품목마스터!$A$2:$A$300,0)),"※미등록"))</f>
        <v/>
      </c>
      <c r="F214" s="32"/>
      <c r="G214" s="33" t="str">
        <f>IF(D214="","",IFERROR(INDEX(품목마스터!$G$2:$G$300,MATCH(D214,품목마스터!$A$2:$A$300,0)),"※미등록"))</f>
        <v/>
      </c>
      <c r="H214" s="31"/>
      <c r="I214" s="32"/>
      <c r="J214" s="32"/>
    </row>
    <row r="215" spans="1:10" ht="15" customHeight="1">
      <c r="A215" s="30"/>
      <c r="B215" s="32"/>
      <c r="C215" s="32"/>
      <c r="D215" s="30"/>
      <c r="E215" s="33" t="str">
        <f>IF(D215="","",IFERROR(INDEX(품목마스터!$B$2:$B$300,MATCH(D215,품목마스터!$A$2:$A$300,0)),"※미등록"))</f>
        <v/>
      </c>
      <c r="F215" s="32"/>
      <c r="G215" s="33" t="str">
        <f>IF(D215="","",IFERROR(INDEX(품목마스터!$G$2:$G$300,MATCH(D215,품목마스터!$A$2:$A$300,0)),"※미등록"))</f>
        <v/>
      </c>
      <c r="H215" s="31"/>
      <c r="I215" s="32"/>
      <c r="J215" s="32"/>
    </row>
    <row r="216" spans="1:10" ht="15" customHeight="1">
      <c r="A216" s="30"/>
      <c r="B216" s="32"/>
      <c r="C216" s="32"/>
      <c r="D216" s="30"/>
      <c r="E216" s="33" t="str">
        <f>IF(D216="","",IFERROR(INDEX(품목마스터!$B$2:$B$300,MATCH(D216,품목마스터!$A$2:$A$300,0)),"※미등록"))</f>
        <v/>
      </c>
      <c r="F216" s="32"/>
      <c r="G216" s="33" t="str">
        <f>IF(D216="","",IFERROR(INDEX(품목마스터!$G$2:$G$300,MATCH(D216,품목마스터!$A$2:$A$300,0)),"※미등록"))</f>
        <v/>
      </c>
      <c r="H216" s="31"/>
      <c r="I216" s="32"/>
      <c r="J216" s="32"/>
    </row>
    <row r="217" spans="1:10" ht="15" customHeight="1">
      <c r="A217" s="30"/>
      <c r="B217" s="32"/>
      <c r="C217" s="32"/>
      <c r="D217" s="30"/>
      <c r="E217" s="33" t="str">
        <f>IF(D217="","",IFERROR(INDEX(품목마스터!$B$2:$B$300,MATCH(D217,품목마스터!$A$2:$A$300,0)),"※미등록"))</f>
        <v/>
      </c>
      <c r="F217" s="32"/>
      <c r="G217" s="33" t="str">
        <f>IF(D217="","",IFERROR(INDEX(품목마스터!$G$2:$G$300,MATCH(D217,품목마스터!$A$2:$A$300,0)),"※미등록"))</f>
        <v/>
      </c>
      <c r="H217" s="31"/>
      <c r="I217" s="32"/>
      <c r="J217" s="32"/>
    </row>
    <row r="218" spans="1:10" ht="15" customHeight="1">
      <c r="A218" s="30"/>
      <c r="B218" s="32"/>
      <c r="C218" s="32"/>
      <c r="D218" s="30"/>
      <c r="E218" s="33" t="str">
        <f>IF(D218="","",IFERROR(INDEX(품목마스터!$B$2:$B$300,MATCH(D218,품목마스터!$A$2:$A$300,0)),"※미등록"))</f>
        <v/>
      </c>
      <c r="F218" s="32"/>
      <c r="G218" s="33" t="str">
        <f>IF(D218="","",IFERROR(INDEX(품목마스터!$G$2:$G$300,MATCH(D218,품목마스터!$A$2:$A$300,0)),"※미등록"))</f>
        <v/>
      </c>
      <c r="H218" s="31"/>
      <c r="I218" s="32"/>
      <c r="J218" s="32"/>
    </row>
    <row r="219" spans="1:10" ht="15" customHeight="1">
      <c r="A219" s="30"/>
      <c r="B219" s="32"/>
      <c r="C219" s="32"/>
      <c r="D219" s="30"/>
      <c r="E219" s="33" t="str">
        <f>IF(D219="","",IFERROR(INDEX(품목마스터!$B$2:$B$300,MATCH(D219,품목마스터!$A$2:$A$300,0)),"※미등록"))</f>
        <v/>
      </c>
      <c r="F219" s="32"/>
      <c r="G219" s="33" t="str">
        <f>IF(D219="","",IFERROR(INDEX(품목마스터!$G$2:$G$300,MATCH(D219,품목마스터!$A$2:$A$300,0)),"※미등록"))</f>
        <v/>
      </c>
      <c r="H219" s="31"/>
      <c r="I219" s="32"/>
      <c r="J219" s="32"/>
    </row>
    <row r="220" spans="1:10" ht="15" customHeight="1">
      <c r="A220" s="30"/>
      <c r="B220" s="32"/>
      <c r="C220" s="32"/>
      <c r="D220" s="30"/>
      <c r="E220" s="33" t="str">
        <f>IF(D220="","",IFERROR(INDEX(품목마스터!$B$2:$B$300,MATCH(D220,품목마스터!$A$2:$A$300,0)),"※미등록"))</f>
        <v/>
      </c>
      <c r="F220" s="32"/>
      <c r="G220" s="33" t="str">
        <f>IF(D220="","",IFERROR(INDEX(품목마스터!$G$2:$G$300,MATCH(D220,품목마스터!$A$2:$A$300,0)),"※미등록"))</f>
        <v/>
      </c>
      <c r="H220" s="31"/>
      <c r="I220" s="32"/>
      <c r="J220" s="32"/>
    </row>
    <row r="221" spans="1:10" ht="15" customHeight="1">
      <c r="A221" s="30"/>
      <c r="B221" s="32"/>
      <c r="C221" s="32"/>
      <c r="D221" s="30"/>
      <c r="E221" s="33" t="str">
        <f>IF(D221="","",IFERROR(INDEX(품목마스터!$B$2:$B$300,MATCH(D221,품목마스터!$A$2:$A$300,0)),"※미등록"))</f>
        <v/>
      </c>
      <c r="F221" s="32"/>
      <c r="G221" s="33" t="str">
        <f>IF(D221="","",IFERROR(INDEX(품목마스터!$G$2:$G$300,MATCH(D221,품목마스터!$A$2:$A$300,0)),"※미등록"))</f>
        <v/>
      </c>
      <c r="H221" s="31"/>
      <c r="I221" s="32"/>
      <c r="J221" s="32"/>
    </row>
    <row r="222" spans="1:10" ht="15" customHeight="1">
      <c r="A222" s="30"/>
      <c r="B222" s="32"/>
      <c r="C222" s="32"/>
      <c r="D222" s="30"/>
      <c r="E222" s="33" t="str">
        <f>IF(D222="","",IFERROR(INDEX(품목마스터!$B$2:$B$300,MATCH(D222,품목마스터!$A$2:$A$300,0)),"※미등록"))</f>
        <v/>
      </c>
      <c r="F222" s="32"/>
      <c r="G222" s="33" t="str">
        <f>IF(D222="","",IFERROR(INDEX(품목마스터!$G$2:$G$300,MATCH(D222,품목마스터!$A$2:$A$300,0)),"※미등록"))</f>
        <v/>
      </c>
      <c r="H222" s="31"/>
      <c r="I222" s="32"/>
      <c r="J222" s="32"/>
    </row>
    <row r="223" spans="1:10" ht="15" customHeight="1">
      <c r="A223" s="30"/>
      <c r="B223" s="32"/>
      <c r="C223" s="32"/>
      <c r="D223" s="30"/>
      <c r="E223" s="33" t="str">
        <f>IF(D223="","",IFERROR(INDEX(품목마스터!$B$2:$B$300,MATCH(D223,품목마스터!$A$2:$A$300,0)),"※미등록"))</f>
        <v/>
      </c>
      <c r="F223" s="32"/>
      <c r="G223" s="33" t="str">
        <f>IF(D223="","",IFERROR(INDEX(품목마스터!$G$2:$G$300,MATCH(D223,품목마스터!$A$2:$A$300,0)),"※미등록"))</f>
        <v/>
      </c>
      <c r="H223" s="31"/>
      <c r="I223" s="32"/>
      <c r="J223" s="32"/>
    </row>
    <row r="224" spans="1:10" ht="15" customHeight="1">
      <c r="A224" s="30"/>
      <c r="B224" s="32"/>
      <c r="C224" s="32"/>
      <c r="D224" s="30"/>
      <c r="E224" s="33" t="str">
        <f>IF(D224="","",IFERROR(INDEX(품목마스터!$B$2:$B$300,MATCH(D224,품목마스터!$A$2:$A$300,0)),"※미등록"))</f>
        <v/>
      </c>
      <c r="F224" s="32"/>
      <c r="G224" s="33" t="str">
        <f>IF(D224="","",IFERROR(INDEX(품목마스터!$G$2:$G$300,MATCH(D224,품목마스터!$A$2:$A$300,0)),"※미등록"))</f>
        <v/>
      </c>
      <c r="H224" s="31"/>
      <c r="I224" s="32"/>
      <c r="J224" s="32"/>
    </row>
    <row r="225" spans="1:10" ht="15" customHeight="1">
      <c r="A225" s="30"/>
      <c r="B225" s="32"/>
      <c r="C225" s="32"/>
      <c r="D225" s="30"/>
      <c r="E225" s="33" t="str">
        <f>IF(D225="","",IFERROR(INDEX(품목마스터!$B$2:$B$300,MATCH(D225,품목마스터!$A$2:$A$300,0)),"※미등록"))</f>
        <v/>
      </c>
      <c r="F225" s="32"/>
      <c r="G225" s="33" t="str">
        <f>IF(D225="","",IFERROR(INDEX(품목마스터!$G$2:$G$300,MATCH(D225,품목마스터!$A$2:$A$300,0)),"※미등록"))</f>
        <v/>
      </c>
      <c r="H225" s="31"/>
      <c r="I225" s="32"/>
      <c r="J225" s="32"/>
    </row>
    <row r="226" spans="1:10" ht="15" customHeight="1">
      <c r="A226" s="30"/>
      <c r="B226" s="32"/>
      <c r="C226" s="32"/>
      <c r="D226" s="30"/>
      <c r="E226" s="33" t="str">
        <f>IF(D226="","",IFERROR(INDEX(품목마스터!$B$2:$B$300,MATCH(D226,품목마스터!$A$2:$A$300,0)),"※미등록"))</f>
        <v/>
      </c>
      <c r="F226" s="32"/>
      <c r="G226" s="33" t="str">
        <f>IF(D226="","",IFERROR(INDEX(품목마스터!$G$2:$G$300,MATCH(D226,품목마스터!$A$2:$A$300,0)),"※미등록"))</f>
        <v/>
      </c>
      <c r="H226" s="31"/>
      <c r="I226" s="32"/>
      <c r="J226" s="32"/>
    </row>
    <row r="227" spans="1:10" ht="15" customHeight="1">
      <c r="A227" s="30"/>
      <c r="B227" s="32"/>
      <c r="C227" s="32"/>
      <c r="D227" s="30"/>
      <c r="E227" s="33" t="str">
        <f>IF(D227="","",IFERROR(INDEX(품목마스터!$B$2:$B$300,MATCH(D227,품목마스터!$A$2:$A$300,0)),"※미등록"))</f>
        <v/>
      </c>
      <c r="F227" s="32"/>
      <c r="G227" s="33" t="str">
        <f>IF(D227="","",IFERROR(INDEX(품목마스터!$G$2:$G$300,MATCH(D227,품목마스터!$A$2:$A$300,0)),"※미등록"))</f>
        <v/>
      </c>
      <c r="H227" s="31"/>
      <c r="I227" s="32"/>
      <c r="J227" s="32"/>
    </row>
    <row r="228" spans="1:10" ht="15" customHeight="1">
      <c r="A228" s="30"/>
      <c r="B228" s="32"/>
      <c r="C228" s="32"/>
      <c r="D228" s="30"/>
      <c r="E228" s="33" t="str">
        <f>IF(D228="","",IFERROR(INDEX(품목마스터!$B$2:$B$300,MATCH(D228,품목마스터!$A$2:$A$300,0)),"※미등록"))</f>
        <v/>
      </c>
      <c r="F228" s="32"/>
      <c r="G228" s="33" t="str">
        <f>IF(D228="","",IFERROR(INDEX(품목마스터!$G$2:$G$300,MATCH(D228,품목마스터!$A$2:$A$300,0)),"※미등록"))</f>
        <v/>
      </c>
      <c r="H228" s="31"/>
      <c r="I228" s="32"/>
      <c r="J228" s="32"/>
    </row>
    <row r="229" spans="1:10" ht="15" customHeight="1">
      <c r="A229" s="30"/>
      <c r="B229" s="32"/>
      <c r="C229" s="32"/>
      <c r="D229" s="30"/>
      <c r="E229" s="33" t="str">
        <f>IF(D229="","",IFERROR(INDEX(품목마스터!$B$2:$B$300,MATCH(D229,품목마스터!$A$2:$A$300,0)),"※미등록"))</f>
        <v/>
      </c>
      <c r="F229" s="32"/>
      <c r="G229" s="33" t="str">
        <f>IF(D229="","",IFERROR(INDEX(품목마스터!$G$2:$G$300,MATCH(D229,품목마스터!$A$2:$A$300,0)),"※미등록"))</f>
        <v/>
      </c>
      <c r="H229" s="31"/>
      <c r="I229" s="32"/>
      <c r="J229" s="32"/>
    </row>
    <row r="230" spans="1:10" ht="15" customHeight="1">
      <c r="A230" s="30"/>
      <c r="B230" s="32"/>
      <c r="C230" s="32"/>
      <c r="D230" s="30"/>
      <c r="E230" s="33" t="str">
        <f>IF(D230="","",IFERROR(INDEX(품목마스터!$B$2:$B$300,MATCH(D230,품목마스터!$A$2:$A$300,0)),"※미등록"))</f>
        <v/>
      </c>
      <c r="F230" s="32"/>
      <c r="G230" s="33" t="str">
        <f>IF(D230="","",IFERROR(INDEX(품목마스터!$G$2:$G$300,MATCH(D230,품목마스터!$A$2:$A$300,0)),"※미등록"))</f>
        <v/>
      </c>
      <c r="H230" s="31"/>
      <c r="I230" s="32"/>
      <c r="J230" s="32"/>
    </row>
    <row r="231" spans="1:10" ht="15" customHeight="1">
      <c r="A231" s="30"/>
      <c r="B231" s="32"/>
      <c r="C231" s="32"/>
      <c r="D231" s="30"/>
      <c r="E231" s="33" t="str">
        <f>IF(D231="","",IFERROR(INDEX(품목마스터!$B$2:$B$300,MATCH(D231,품목마스터!$A$2:$A$300,0)),"※미등록"))</f>
        <v/>
      </c>
      <c r="F231" s="32"/>
      <c r="G231" s="33" t="str">
        <f>IF(D231="","",IFERROR(INDEX(품목마스터!$G$2:$G$300,MATCH(D231,품목마스터!$A$2:$A$300,0)),"※미등록"))</f>
        <v/>
      </c>
      <c r="H231" s="31"/>
      <c r="I231" s="32"/>
      <c r="J231" s="32"/>
    </row>
    <row r="232" spans="1:10" ht="15" customHeight="1">
      <c r="A232" s="30"/>
      <c r="B232" s="32"/>
      <c r="C232" s="32"/>
      <c r="D232" s="30"/>
      <c r="E232" s="33" t="str">
        <f>IF(D232="","",IFERROR(INDEX(품목마스터!$B$2:$B$300,MATCH(D232,품목마스터!$A$2:$A$300,0)),"※미등록"))</f>
        <v/>
      </c>
      <c r="F232" s="32"/>
      <c r="G232" s="33" t="str">
        <f>IF(D232="","",IFERROR(INDEX(품목마스터!$G$2:$G$300,MATCH(D232,품목마스터!$A$2:$A$300,0)),"※미등록"))</f>
        <v/>
      </c>
      <c r="H232" s="31"/>
      <c r="I232" s="32"/>
      <c r="J232" s="32"/>
    </row>
    <row r="233" spans="1:10" ht="15" customHeight="1">
      <c r="A233" s="30"/>
      <c r="B233" s="32"/>
      <c r="C233" s="32"/>
      <c r="D233" s="30"/>
      <c r="E233" s="33" t="str">
        <f>IF(D233="","",IFERROR(INDEX(품목마스터!$B$2:$B$300,MATCH(D233,품목마스터!$A$2:$A$300,0)),"※미등록"))</f>
        <v/>
      </c>
      <c r="F233" s="32"/>
      <c r="G233" s="33" t="str">
        <f>IF(D233="","",IFERROR(INDEX(품목마스터!$G$2:$G$300,MATCH(D233,품목마스터!$A$2:$A$300,0)),"※미등록"))</f>
        <v/>
      </c>
      <c r="H233" s="31"/>
      <c r="I233" s="32"/>
      <c r="J233" s="32"/>
    </row>
    <row r="234" spans="1:10" ht="15" customHeight="1">
      <c r="A234" s="30"/>
      <c r="B234" s="32"/>
      <c r="C234" s="32"/>
      <c r="D234" s="30"/>
      <c r="E234" s="33" t="str">
        <f>IF(D234="","",IFERROR(INDEX(품목마스터!$B$2:$B$300,MATCH(D234,품목마스터!$A$2:$A$300,0)),"※미등록"))</f>
        <v/>
      </c>
      <c r="F234" s="32"/>
      <c r="G234" s="33" t="str">
        <f>IF(D234="","",IFERROR(INDEX(품목마스터!$G$2:$G$300,MATCH(D234,품목마스터!$A$2:$A$300,0)),"※미등록"))</f>
        <v/>
      </c>
      <c r="H234" s="31"/>
      <c r="I234" s="32"/>
      <c r="J234" s="32"/>
    </row>
    <row r="235" spans="1:10" ht="15" customHeight="1">
      <c r="A235" s="30"/>
      <c r="B235" s="32"/>
      <c r="C235" s="32"/>
      <c r="D235" s="30"/>
      <c r="E235" s="33" t="str">
        <f>IF(D235="","",IFERROR(INDEX(품목마스터!$B$2:$B$300,MATCH(D235,품목마스터!$A$2:$A$300,0)),"※미등록"))</f>
        <v/>
      </c>
      <c r="F235" s="32"/>
      <c r="G235" s="33" t="str">
        <f>IF(D235="","",IFERROR(INDEX(품목마스터!$G$2:$G$300,MATCH(D235,품목마스터!$A$2:$A$300,0)),"※미등록"))</f>
        <v/>
      </c>
      <c r="H235" s="31"/>
      <c r="I235" s="32"/>
      <c r="J235" s="32"/>
    </row>
    <row r="236" spans="1:10" ht="15" customHeight="1">
      <c r="A236" s="30"/>
      <c r="B236" s="32"/>
      <c r="C236" s="32"/>
      <c r="D236" s="30"/>
      <c r="E236" s="33" t="str">
        <f>IF(D236="","",IFERROR(INDEX(품목마스터!$B$2:$B$300,MATCH(D236,품목마스터!$A$2:$A$300,0)),"※미등록"))</f>
        <v/>
      </c>
      <c r="F236" s="32"/>
      <c r="G236" s="33" t="str">
        <f>IF(D236="","",IFERROR(INDEX(품목마스터!$G$2:$G$300,MATCH(D236,품목마스터!$A$2:$A$300,0)),"※미등록"))</f>
        <v/>
      </c>
      <c r="H236" s="31"/>
      <c r="I236" s="32"/>
      <c r="J236" s="32"/>
    </row>
    <row r="237" spans="1:10" ht="15" customHeight="1">
      <c r="A237" s="30"/>
      <c r="B237" s="32"/>
      <c r="C237" s="32"/>
      <c r="D237" s="30"/>
      <c r="E237" s="33" t="str">
        <f>IF(D237="","",IFERROR(INDEX(품목마스터!$B$2:$B$300,MATCH(D237,품목마스터!$A$2:$A$300,0)),"※미등록"))</f>
        <v/>
      </c>
      <c r="F237" s="32"/>
      <c r="G237" s="33" t="str">
        <f>IF(D237="","",IFERROR(INDEX(품목마스터!$G$2:$G$300,MATCH(D237,품목마스터!$A$2:$A$300,0)),"※미등록"))</f>
        <v/>
      </c>
      <c r="H237" s="31"/>
      <c r="I237" s="32"/>
      <c r="J237" s="32"/>
    </row>
    <row r="238" spans="1:10" ht="15" customHeight="1">
      <c r="A238" s="30"/>
      <c r="B238" s="32"/>
      <c r="C238" s="32"/>
      <c r="D238" s="30"/>
      <c r="E238" s="33" t="str">
        <f>IF(D238="","",IFERROR(INDEX(품목마스터!$B$2:$B$300,MATCH(D238,품목마스터!$A$2:$A$300,0)),"※미등록"))</f>
        <v/>
      </c>
      <c r="F238" s="32"/>
      <c r="G238" s="33" t="str">
        <f>IF(D238="","",IFERROR(INDEX(품목마스터!$G$2:$G$300,MATCH(D238,품목마스터!$A$2:$A$300,0)),"※미등록"))</f>
        <v/>
      </c>
      <c r="H238" s="31"/>
      <c r="I238" s="32"/>
      <c r="J238" s="32"/>
    </row>
    <row r="239" spans="1:10" ht="15" customHeight="1">
      <c r="A239" s="30"/>
      <c r="B239" s="32"/>
      <c r="C239" s="32"/>
      <c r="D239" s="30"/>
      <c r="E239" s="33" t="str">
        <f>IF(D239="","",IFERROR(INDEX(품목마스터!$B$2:$B$300,MATCH(D239,품목마스터!$A$2:$A$300,0)),"※미등록"))</f>
        <v/>
      </c>
      <c r="F239" s="32"/>
      <c r="G239" s="33" t="str">
        <f>IF(D239="","",IFERROR(INDEX(품목마스터!$G$2:$G$300,MATCH(D239,품목마스터!$A$2:$A$300,0)),"※미등록"))</f>
        <v/>
      </c>
      <c r="H239" s="31"/>
      <c r="I239" s="32"/>
      <c r="J239" s="32"/>
    </row>
    <row r="240" spans="1:10" ht="15" customHeight="1">
      <c r="A240" s="30"/>
      <c r="B240" s="32"/>
      <c r="C240" s="32"/>
      <c r="D240" s="30"/>
      <c r="E240" s="33" t="str">
        <f>IF(D240="","",IFERROR(INDEX(품목마스터!$B$2:$B$300,MATCH(D240,품목마스터!$A$2:$A$300,0)),"※미등록"))</f>
        <v/>
      </c>
      <c r="F240" s="32"/>
      <c r="G240" s="33" t="str">
        <f>IF(D240="","",IFERROR(INDEX(품목마스터!$G$2:$G$300,MATCH(D240,품목마스터!$A$2:$A$300,0)),"※미등록"))</f>
        <v/>
      </c>
      <c r="H240" s="31"/>
      <c r="I240" s="32"/>
      <c r="J240" s="32"/>
    </row>
    <row r="241" spans="1:10" ht="15" customHeight="1">
      <c r="A241" s="30"/>
      <c r="B241" s="32"/>
      <c r="C241" s="32"/>
      <c r="D241" s="30"/>
      <c r="E241" s="33" t="str">
        <f>IF(D241="","",IFERROR(INDEX(품목마스터!$B$2:$B$300,MATCH(D241,품목마스터!$A$2:$A$300,0)),"※미등록"))</f>
        <v/>
      </c>
      <c r="F241" s="32"/>
      <c r="G241" s="33" t="str">
        <f>IF(D241="","",IFERROR(INDEX(품목마스터!$G$2:$G$300,MATCH(D241,품목마스터!$A$2:$A$300,0)),"※미등록"))</f>
        <v/>
      </c>
      <c r="H241" s="31"/>
      <c r="I241" s="32"/>
      <c r="J241" s="32"/>
    </row>
    <row r="242" spans="1:10" ht="15" customHeight="1">
      <c r="A242" s="30"/>
      <c r="B242" s="32"/>
      <c r="C242" s="32"/>
      <c r="D242" s="30"/>
      <c r="E242" s="33" t="str">
        <f>IF(D242="","",IFERROR(INDEX(품목마스터!$B$2:$B$300,MATCH(D242,품목마스터!$A$2:$A$300,0)),"※미등록"))</f>
        <v/>
      </c>
      <c r="F242" s="32"/>
      <c r="G242" s="33" t="str">
        <f>IF(D242="","",IFERROR(INDEX(품목마스터!$G$2:$G$300,MATCH(D242,품목마스터!$A$2:$A$300,0)),"※미등록"))</f>
        <v/>
      </c>
      <c r="H242" s="31"/>
      <c r="I242" s="32"/>
      <c r="J242" s="32"/>
    </row>
    <row r="243" spans="1:10" ht="15" customHeight="1">
      <c r="A243" s="30"/>
      <c r="B243" s="32"/>
      <c r="C243" s="32"/>
      <c r="D243" s="30"/>
      <c r="E243" s="33" t="str">
        <f>IF(D243="","",IFERROR(INDEX(품목마스터!$B$2:$B$300,MATCH(D243,품목마스터!$A$2:$A$300,0)),"※미등록"))</f>
        <v/>
      </c>
      <c r="F243" s="32"/>
      <c r="G243" s="33" t="str">
        <f>IF(D243="","",IFERROR(INDEX(품목마스터!$G$2:$G$300,MATCH(D243,품목마스터!$A$2:$A$300,0)),"※미등록"))</f>
        <v/>
      </c>
      <c r="H243" s="31"/>
      <c r="I243" s="32"/>
      <c r="J243" s="32"/>
    </row>
    <row r="244" spans="1:10" ht="15" customHeight="1">
      <c r="A244" s="30"/>
      <c r="B244" s="32"/>
      <c r="C244" s="32"/>
      <c r="D244" s="30"/>
      <c r="E244" s="33" t="str">
        <f>IF(D244="","",IFERROR(INDEX(품목마스터!$B$2:$B$300,MATCH(D244,품목마스터!$A$2:$A$300,0)),"※미등록"))</f>
        <v/>
      </c>
      <c r="F244" s="32"/>
      <c r="G244" s="33" t="str">
        <f>IF(D244="","",IFERROR(INDEX(품목마스터!$G$2:$G$300,MATCH(D244,품목마스터!$A$2:$A$300,0)),"※미등록"))</f>
        <v/>
      </c>
      <c r="H244" s="31"/>
      <c r="I244" s="32"/>
      <c r="J244" s="32"/>
    </row>
    <row r="245" spans="1:10" ht="15" customHeight="1">
      <c r="A245" s="30"/>
      <c r="B245" s="32"/>
      <c r="C245" s="32"/>
      <c r="D245" s="30"/>
      <c r="E245" s="33" t="str">
        <f>IF(D245="","",IFERROR(INDEX(품목마스터!$B$2:$B$300,MATCH(D245,품목마스터!$A$2:$A$300,0)),"※미등록"))</f>
        <v/>
      </c>
      <c r="F245" s="32"/>
      <c r="G245" s="33" t="str">
        <f>IF(D245="","",IFERROR(INDEX(품목마스터!$G$2:$G$300,MATCH(D245,품목마스터!$A$2:$A$300,0)),"※미등록"))</f>
        <v/>
      </c>
      <c r="H245" s="31"/>
      <c r="I245" s="32"/>
      <c r="J245" s="32"/>
    </row>
    <row r="246" spans="1:10" ht="15" customHeight="1">
      <c r="A246" s="30"/>
      <c r="B246" s="32"/>
      <c r="C246" s="32"/>
      <c r="D246" s="30"/>
      <c r="E246" s="33" t="str">
        <f>IF(D246="","",IFERROR(INDEX(품목마스터!$B$2:$B$300,MATCH(D246,품목마스터!$A$2:$A$300,0)),"※미등록"))</f>
        <v/>
      </c>
      <c r="F246" s="32"/>
      <c r="G246" s="33" t="str">
        <f>IF(D246="","",IFERROR(INDEX(품목마스터!$G$2:$G$300,MATCH(D246,품목마스터!$A$2:$A$300,0)),"※미등록"))</f>
        <v/>
      </c>
      <c r="H246" s="31"/>
      <c r="I246" s="32"/>
      <c r="J246" s="32"/>
    </row>
    <row r="247" spans="1:10" ht="15" customHeight="1">
      <c r="A247" s="30"/>
      <c r="B247" s="32"/>
      <c r="C247" s="32"/>
      <c r="D247" s="30"/>
      <c r="E247" s="33" t="str">
        <f>IF(D247="","",IFERROR(INDEX(품목마스터!$B$2:$B$300,MATCH(D247,품목마스터!$A$2:$A$300,0)),"※미등록"))</f>
        <v/>
      </c>
      <c r="F247" s="32"/>
      <c r="G247" s="33" t="str">
        <f>IF(D247="","",IFERROR(INDEX(품목마스터!$G$2:$G$300,MATCH(D247,품목마스터!$A$2:$A$300,0)),"※미등록"))</f>
        <v/>
      </c>
      <c r="H247" s="31"/>
      <c r="I247" s="32"/>
      <c r="J247" s="32"/>
    </row>
    <row r="248" spans="1:10" ht="15" customHeight="1">
      <c r="A248" s="30"/>
      <c r="B248" s="32"/>
      <c r="C248" s="32"/>
      <c r="D248" s="30"/>
      <c r="E248" s="33" t="str">
        <f>IF(D248="","",IFERROR(INDEX(품목마스터!$B$2:$B$300,MATCH(D248,품목마스터!$A$2:$A$300,0)),"※미등록"))</f>
        <v/>
      </c>
      <c r="F248" s="32"/>
      <c r="G248" s="33" t="str">
        <f>IF(D248="","",IFERROR(INDEX(품목마스터!$G$2:$G$300,MATCH(D248,품목마스터!$A$2:$A$300,0)),"※미등록"))</f>
        <v/>
      </c>
      <c r="H248" s="31"/>
      <c r="I248" s="32"/>
      <c r="J248" s="32"/>
    </row>
    <row r="249" spans="1:10" ht="15" customHeight="1">
      <c r="A249" s="30"/>
      <c r="B249" s="32"/>
      <c r="C249" s="32"/>
      <c r="D249" s="30"/>
      <c r="E249" s="33" t="str">
        <f>IF(D249="","",IFERROR(INDEX(품목마스터!$B$2:$B$300,MATCH(D249,품목마스터!$A$2:$A$300,0)),"※미등록"))</f>
        <v/>
      </c>
      <c r="F249" s="32"/>
      <c r="G249" s="33" t="str">
        <f>IF(D249="","",IFERROR(INDEX(품목마스터!$G$2:$G$300,MATCH(D249,품목마스터!$A$2:$A$300,0)),"※미등록"))</f>
        <v/>
      </c>
      <c r="H249" s="31"/>
      <c r="I249" s="32"/>
      <c r="J249" s="32"/>
    </row>
    <row r="250" spans="1:10" ht="15" customHeight="1">
      <c r="A250" s="30"/>
      <c r="B250" s="32"/>
      <c r="C250" s="32"/>
      <c r="D250" s="30"/>
      <c r="E250" s="33" t="str">
        <f>IF(D250="","",IFERROR(INDEX(품목마스터!$B$2:$B$300,MATCH(D250,품목마스터!$A$2:$A$300,0)),"※미등록"))</f>
        <v/>
      </c>
      <c r="F250" s="32"/>
      <c r="G250" s="33" t="str">
        <f>IF(D250="","",IFERROR(INDEX(품목마스터!$G$2:$G$300,MATCH(D250,품목마스터!$A$2:$A$300,0)),"※미등록"))</f>
        <v/>
      </c>
      <c r="H250" s="31"/>
      <c r="I250" s="32"/>
      <c r="J250" s="32"/>
    </row>
    <row r="251" spans="1:10" ht="15" customHeight="1">
      <c r="A251" s="30"/>
      <c r="B251" s="32"/>
      <c r="C251" s="32"/>
      <c r="D251" s="30"/>
      <c r="E251" s="33" t="str">
        <f>IF(D251="","",IFERROR(INDEX(품목마스터!$B$2:$B$300,MATCH(D251,품목마스터!$A$2:$A$300,0)),"※미등록"))</f>
        <v/>
      </c>
      <c r="F251" s="32"/>
      <c r="G251" s="33" t="str">
        <f>IF(D251="","",IFERROR(INDEX(품목마스터!$G$2:$G$300,MATCH(D251,품목마스터!$A$2:$A$300,0)),"※미등록"))</f>
        <v/>
      </c>
      <c r="H251" s="31"/>
      <c r="I251" s="32"/>
      <c r="J251" s="32"/>
    </row>
    <row r="252" spans="1:10" ht="15" customHeight="1">
      <c r="A252" s="30"/>
      <c r="B252" s="32"/>
      <c r="C252" s="32"/>
      <c r="D252" s="30"/>
      <c r="E252" s="33" t="str">
        <f>IF(D252="","",IFERROR(INDEX(품목마스터!$B$2:$B$300,MATCH(D252,품목마스터!$A$2:$A$300,0)),"※미등록"))</f>
        <v/>
      </c>
      <c r="F252" s="32"/>
      <c r="G252" s="33" t="str">
        <f>IF(D252="","",IFERROR(INDEX(품목마스터!$G$2:$G$300,MATCH(D252,품목마스터!$A$2:$A$300,0)),"※미등록"))</f>
        <v/>
      </c>
      <c r="H252" s="31"/>
      <c r="I252" s="32"/>
      <c r="J252" s="32"/>
    </row>
    <row r="253" spans="1:10" ht="15" customHeight="1">
      <c r="A253" s="30"/>
      <c r="B253" s="32"/>
      <c r="C253" s="32"/>
      <c r="D253" s="30"/>
      <c r="E253" s="33" t="str">
        <f>IF(D253="","",IFERROR(INDEX(품목마스터!$B$2:$B$300,MATCH(D253,품목마스터!$A$2:$A$300,0)),"※미등록"))</f>
        <v/>
      </c>
      <c r="F253" s="32"/>
      <c r="G253" s="33" t="str">
        <f>IF(D253="","",IFERROR(INDEX(품목마스터!$G$2:$G$300,MATCH(D253,품목마스터!$A$2:$A$300,0)),"※미등록"))</f>
        <v/>
      </c>
      <c r="H253" s="31"/>
      <c r="I253" s="32"/>
      <c r="J253" s="32"/>
    </row>
    <row r="254" spans="1:10" ht="15" customHeight="1">
      <c r="A254" s="30"/>
      <c r="B254" s="32"/>
      <c r="C254" s="32"/>
      <c r="D254" s="30"/>
      <c r="E254" s="33" t="str">
        <f>IF(D254="","",IFERROR(INDEX(품목마스터!$B$2:$B$300,MATCH(D254,품목마스터!$A$2:$A$300,0)),"※미등록"))</f>
        <v/>
      </c>
      <c r="F254" s="32"/>
      <c r="G254" s="33" t="str">
        <f>IF(D254="","",IFERROR(INDEX(품목마스터!$G$2:$G$300,MATCH(D254,품목마스터!$A$2:$A$300,0)),"※미등록"))</f>
        <v/>
      </c>
      <c r="H254" s="31"/>
      <c r="I254" s="32"/>
      <c r="J254" s="32"/>
    </row>
    <row r="255" spans="1:10" ht="15" customHeight="1">
      <c r="A255" s="30"/>
      <c r="B255" s="32"/>
      <c r="C255" s="32"/>
      <c r="D255" s="30"/>
      <c r="E255" s="33" t="str">
        <f>IF(D255="","",IFERROR(INDEX(품목마스터!$B$2:$B$300,MATCH(D255,품목마스터!$A$2:$A$300,0)),"※미등록"))</f>
        <v/>
      </c>
      <c r="F255" s="32"/>
      <c r="G255" s="33" t="str">
        <f>IF(D255="","",IFERROR(INDEX(품목마스터!$G$2:$G$300,MATCH(D255,품목마스터!$A$2:$A$300,0)),"※미등록"))</f>
        <v/>
      </c>
      <c r="H255" s="31"/>
      <c r="I255" s="32"/>
      <c r="J255" s="32"/>
    </row>
    <row r="256" spans="1:10" ht="15" customHeight="1">
      <c r="A256" s="30"/>
      <c r="B256" s="32"/>
      <c r="C256" s="32"/>
      <c r="D256" s="30"/>
      <c r="E256" s="33" t="str">
        <f>IF(D256="","",IFERROR(INDEX(품목마스터!$B$2:$B$300,MATCH(D256,품목마스터!$A$2:$A$300,0)),"※미등록"))</f>
        <v/>
      </c>
      <c r="F256" s="32"/>
      <c r="G256" s="33" t="str">
        <f>IF(D256="","",IFERROR(INDEX(품목마스터!$G$2:$G$300,MATCH(D256,품목마스터!$A$2:$A$300,0)),"※미등록"))</f>
        <v/>
      </c>
      <c r="H256" s="31"/>
      <c r="I256" s="32"/>
      <c r="J256" s="32"/>
    </row>
    <row r="257" spans="1:10" ht="15" customHeight="1">
      <c r="A257" s="30"/>
      <c r="B257" s="32"/>
      <c r="C257" s="32"/>
      <c r="D257" s="30"/>
      <c r="E257" s="33" t="str">
        <f>IF(D257="","",IFERROR(INDEX(품목마스터!$B$2:$B$300,MATCH(D257,품목마스터!$A$2:$A$300,0)),"※미등록"))</f>
        <v/>
      </c>
      <c r="F257" s="32"/>
      <c r="G257" s="33" t="str">
        <f>IF(D257="","",IFERROR(INDEX(품목마스터!$G$2:$G$300,MATCH(D257,품목마스터!$A$2:$A$300,0)),"※미등록"))</f>
        <v/>
      </c>
      <c r="H257" s="31"/>
      <c r="I257" s="32"/>
      <c r="J257" s="32"/>
    </row>
    <row r="258" spans="1:10" ht="15" customHeight="1">
      <c r="A258" s="30"/>
      <c r="B258" s="32"/>
      <c r="C258" s="32"/>
      <c r="D258" s="30"/>
      <c r="E258" s="33" t="str">
        <f>IF(D258="","",IFERROR(INDEX(품목마스터!$B$2:$B$300,MATCH(D258,품목마스터!$A$2:$A$300,0)),"※미등록"))</f>
        <v/>
      </c>
      <c r="F258" s="32"/>
      <c r="G258" s="33" t="str">
        <f>IF(D258="","",IFERROR(INDEX(품목마스터!$G$2:$G$300,MATCH(D258,품목마스터!$A$2:$A$300,0)),"※미등록"))</f>
        <v/>
      </c>
      <c r="H258" s="31"/>
      <c r="I258" s="32"/>
      <c r="J258" s="32"/>
    </row>
    <row r="259" spans="1:10" ht="15" customHeight="1">
      <c r="A259" s="30"/>
      <c r="B259" s="32"/>
      <c r="C259" s="32"/>
      <c r="D259" s="30"/>
      <c r="E259" s="33" t="str">
        <f>IF(D259="","",IFERROR(INDEX(품목마스터!$B$2:$B$300,MATCH(D259,품목마스터!$A$2:$A$300,0)),"※미등록"))</f>
        <v/>
      </c>
      <c r="F259" s="32"/>
      <c r="G259" s="33" t="str">
        <f>IF(D259="","",IFERROR(INDEX(품목마스터!$G$2:$G$300,MATCH(D259,품목마스터!$A$2:$A$300,0)),"※미등록"))</f>
        <v/>
      </c>
      <c r="H259" s="31"/>
      <c r="I259" s="32"/>
      <c r="J259" s="32"/>
    </row>
    <row r="260" spans="1:10" ht="15" customHeight="1">
      <c r="A260" s="30"/>
      <c r="B260" s="32"/>
      <c r="C260" s="32"/>
      <c r="D260" s="30"/>
      <c r="E260" s="33" t="str">
        <f>IF(D260="","",IFERROR(INDEX(품목마스터!$B$2:$B$300,MATCH(D260,품목마스터!$A$2:$A$300,0)),"※미등록"))</f>
        <v/>
      </c>
      <c r="F260" s="32"/>
      <c r="G260" s="33" t="str">
        <f>IF(D260="","",IFERROR(INDEX(품목마스터!$G$2:$G$300,MATCH(D260,품목마스터!$A$2:$A$300,0)),"※미등록"))</f>
        <v/>
      </c>
      <c r="H260" s="31"/>
      <c r="I260" s="32"/>
      <c r="J260" s="32"/>
    </row>
    <row r="261" spans="1:10" ht="15" customHeight="1">
      <c r="A261" s="30"/>
      <c r="B261" s="32"/>
      <c r="C261" s="32"/>
      <c r="D261" s="30"/>
      <c r="E261" s="33" t="str">
        <f>IF(D261="","",IFERROR(INDEX(품목마스터!$B$2:$B$300,MATCH(D261,품목마스터!$A$2:$A$300,0)),"※미등록"))</f>
        <v/>
      </c>
      <c r="F261" s="32"/>
      <c r="G261" s="33" t="str">
        <f>IF(D261="","",IFERROR(INDEX(품목마스터!$G$2:$G$300,MATCH(D261,품목마스터!$A$2:$A$300,0)),"※미등록"))</f>
        <v/>
      </c>
      <c r="H261" s="31"/>
      <c r="I261" s="32"/>
      <c r="J261" s="32"/>
    </row>
    <row r="262" spans="1:10" ht="15" customHeight="1">
      <c r="A262" s="30"/>
      <c r="B262" s="32"/>
      <c r="C262" s="32"/>
      <c r="D262" s="30"/>
      <c r="E262" s="33" t="str">
        <f>IF(D262="","",IFERROR(INDEX(품목마스터!$B$2:$B$300,MATCH(D262,품목마스터!$A$2:$A$300,0)),"※미등록"))</f>
        <v/>
      </c>
      <c r="F262" s="32"/>
      <c r="G262" s="33" t="str">
        <f>IF(D262="","",IFERROR(INDEX(품목마스터!$G$2:$G$300,MATCH(D262,품목마스터!$A$2:$A$300,0)),"※미등록"))</f>
        <v/>
      </c>
      <c r="H262" s="31"/>
      <c r="I262" s="32"/>
      <c r="J262" s="32"/>
    </row>
    <row r="263" spans="1:10" ht="15" customHeight="1">
      <c r="A263" s="30"/>
      <c r="B263" s="32"/>
      <c r="C263" s="32"/>
      <c r="D263" s="30"/>
      <c r="E263" s="33" t="str">
        <f>IF(D263="","",IFERROR(INDEX(품목마스터!$B$2:$B$300,MATCH(D263,품목마스터!$A$2:$A$300,0)),"※미등록"))</f>
        <v/>
      </c>
      <c r="F263" s="32"/>
      <c r="G263" s="33" t="str">
        <f>IF(D263="","",IFERROR(INDEX(품목마스터!$G$2:$G$300,MATCH(D263,품목마스터!$A$2:$A$300,0)),"※미등록"))</f>
        <v/>
      </c>
      <c r="H263" s="31"/>
      <c r="I263" s="32"/>
      <c r="J263" s="32"/>
    </row>
    <row r="264" spans="1:10" ht="15" customHeight="1">
      <c r="A264" s="30"/>
      <c r="B264" s="32"/>
      <c r="C264" s="32"/>
      <c r="D264" s="30"/>
      <c r="E264" s="33" t="str">
        <f>IF(D264="","",IFERROR(INDEX(품목마스터!$B$2:$B$300,MATCH(D264,품목마스터!$A$2:$A$300,0)),"※미등록"))</f>
        <v/>
      </c>
      <c r="F264" s="32"/>
      <c r="G264" s="33" t="str">
        <f>IF(D264="","",IFERROR(INDEX(품목마스터!$G$2:$G$300,MATCH(D264,품목마스터!$A$2:$A$300,0)),"※미등록"))</f>
        <v/>
      </c>
      <c r="H264" s="31"/>
      <c r="I264" s="32"/>
      <c r="J264" s="32"/>
    </row>
    <row r="265" spans="1:10" ht="15" customHeight="1">
      <c r="A265" s="30"/>
      <c r="B265" s="32"/>
      <c r="C265" s="32"/>
      <c r="D265" s="30"/>
      <c r="E265" s="33" t="str">
        <f>IF(D265="","",IFERROR(INDEX(품목마스터!$B$2:$B$300,MATCH(D265,품목마스터!$A$2:$A$300,0)),"※미등록"))</f>
        <v/>
      </c>
      <c r="F265" s="32"/>
      <c r="G265" s="33" t="str">
        <f>IF(D265="","",IFERROR(INDEX(품목마스터!$G$2:$G$300,MATCH(D265,품목마스터!$A$2:$A$300,0)),"※미등록"))</f>
        <v/>
      </c>
      <c r="H265" s="31"/>
      <c r="I265" s="32"/>
      <c r="J265" s="32"/>
    </row>
    <row r="266" spans="1:10" ht="15" customHeight="1">
      <c r="A266" s="30"/>
      <c r="B266" s="32"/>
      <c r="C266" s="32"/>
      <c r="D266" s="30"/>
      <c r="E266" s="33" t="str">
        <f>IF(D266="","",IFERROR(INDEX(품목마스터!$B$2:$B$300,MATCH(D266,품목마스터!$A$2:$A$300,0)),"※미등록"))</f>
        <v/>
      </c>
      <c r="F266" s="32"/>
      <c r="G266" s="33" t="str">
        <f>IF(D266="","",IFERROR(INDEX(품목마스터!$G$2:$G$300,MATCH(D266,품목마스터!$A$2:$A$300,0)),"※미등록"))</f>
        <v/>
      </c>
      <c r="H266" s="31"/>
      <c r="I266" s="32"/>
      <c r="J266" s="32"/>
    </row>
    <row r="267" spans="1:10" ht="15" customHeight="1">
      <c r="A267" s="30"/>
      <c r="B267" s="32"/>
      <c r="C267" s="32"/>
      <c r="D267" s="30"/>
      <c r="E267" s="33" t="str">
        <f>IF(D267="","",IFERROR(INDEX(품목마스터!$B$2:$B$300,MATCH(D267,품목마스터!$A$2:$A$300,0)),"※미등록"))</f>
        <v/>
      </c>
      <c r="F267" s="32"/>
      <c r="G267" s="33" t="str">
        <f>IF(D267="","",IFERROR(INDEX(품목마스터!$G$2:$G$300,MATCH(D267,품목마스터!$A$2:$A$300,0)),"※미등록"))</f>
        <v/>
      </c>
      <c r="H267" s="31"/>
      <c r="I267" s="32"/>
      <c r="J267" s="32"/>
    </row>
    <row r="268" spans="1:10" ht="15" customHeight="1">
      <c r="A268" s="30"/>
      <c r="B268" s="32"/>
      <c r="C268" s="32"/>
      <c r="D268" s="30"/>
      <c r="E268" s="33" t="str">
        <f>IF(D268="","",IFERROR(INDEX(품목마스터!$B$2:$B$300,MATCH(D268,품목마스터!$A$2:$A$300,0)),"※미등록"))</f>
        <v/>
      </c>
      <c r="F268" s="32"/>
      <c r="G268" s="33" t="str">
        <f>IF(D268="","",IFERROR(INDEX(품목마스터!$G$2:$G$300,MATCH(D268,품목마스터!$A$2:$A$300,0)),"※미등록"))</f>
        <v/>
      </c>
      <c r="H268" s="31"/>
      <c r="I268" s="32"/>
      <c r="J268" s="32"/>
    </row>
    <row r="269" spans="1:10" ht="15" customHeight="1">
      <c r="A269" s="30"/>
      <c r="B269" s="32"/>
      <c r="C269" s="32"/>
      <c r="D269" s="30"/>
      <c r="E269" s="33" t="str">
        <f>IF(D269="","",IFERROR(INDEX(품목마스터!$B$2:$B$300,MATCH(D269,품목마스터!$A$2:$A$300,0)),"※미등록"))</f>
        <v/>
      </c>
      <c r="F269" s="32"/>
      <c r="G269" s="33" t="str">
        <f>IF(D269="","",IFERROR(INDEX(품목마스터!$G$2:$G$300,MATCH(D269,품목마스터!$A$2:$A$300,0)),"※미등록"))</f>
        <v/>
      </c>
      <c r="H269" s="31"/>
      <c r="I269" s="32"/>
      <c r="J269" s="32"/>
    </row>
    <row r="270" spans="1:10" ht="15" customHeight="1">
      <c r="A270" s="30"/>
      <c r="B270" s="32"/>
      <c r="C270" s="32"/>
      <c r="D270" s="30"/>
      <c r="E270" s="33" t="str">
        <f>IF(D270="","",IFERROR(INDEX(품목마스터!$B$2:$B$300,MATCH(D270,품목마스터!$A$2:$A$300,0)),"※미등록"))</f>
        <v/>
      </c>
      <c r="F270" s="32"/>
      <c r="G270" s="33" t="str">
        <f>IF(D270="","",IFERROR(INDEX(품목마스터!$G$2:$G$300,MATCH(D270,품목마스터!$A$2:$A$300,0)),"※미등록"))</f>
        <v/>
      </c>
      <c r="H270" s="31"/>
      <c r="I270" s="32"/>
      <c r="J270" s="32"/>
    </row>
    <row r="271" spans="1:10" ht="15" customHeight="1">
      <c r="A271" s="30"/>
      <c r="B271" s="32"/>
      <c r="C271" s="32"/>
      <c r="D271" s="30"/>
      <c r="E271" s="33" t="str">
        <f>IF(D271="","",IFERROR(INDEX(품목마스터!$B$2:$B$300,MATCH(D271,품목마스터!$A$2:$A$300,0)),"※미등록"))</f>
        <v/>
      </c>
      <c r="F271" s="32"/>
      <c r="G271" s="33" t="str">
        <f>IF(D271="","",IFERROR(INDEX(품목마스터!$G$2:$G$300,MATCH(D271,품목마스터!$A$2:$A$300,0)),"※미등록"))</f>
        <v/>
      </c>
      <c r="H271" s="31"/>
      <c r="I271" s="32"/>
      <c r="J271" s="32"/>
    </row>
    <row r="272" spans="1:10" ht="15" customHeight="1">
      <c r="A272" s="30"/>
      <c r="B272" s="32"/>
      <c r="C272" s="32"/>
      <c r="D272" s="30"/>
      <c r="E272" s="33" t="str">
        <f>IF(D272="","",IFERROR(INDEX(품목마스터!$B$2:$B$300,MATCH(D272,품목마스터!$A$2:$A$300,0)),"※미등록"))</f>
        <v/>
      </c>
      <c r="F272" s="32"/>
      <c r="G272" s="33" t="str">
        <f>IF(D272="","",IFERROR(INDEX(품목마스터!$G$2:$G$300,MATCH(D272,품목마스터!$A$2:$A$300,0)),"※미등록"))</f>
        <v/>
      </c>
      <c r="H272" s="31"/>
      <c r="I272" s="32"/>
      <c r="J272" s="32"/>
    </row>
    <row r="273" spans="1:10" ht="15" customHeight="1">
      <c r="A273" s="30"/>
      <c r="B273" s="32"/>
      <c r="C273" s="32"/>
      <c r="D273" s="30"/>
      <c r="E273" s="33" t="str">
        <f>IF(D273="","",IFERROR(INDEX(품목마스터!$B$2:$B$300,MATCH(D273,품목마스터!$A$2:$A$300,0)),"※미등록"))</f>
        <v/>
      </c>
      <c r="F273" s="32"/>
      <c r="G273" s="33" t="str">
        <f>IF(D273="","",IFERROR(INDEX(품목마스터!$G$2:$G$300,MATCH(D273,품목마스터!$A$2:$A$300,0)),"※미등록"))</f>
        <v/>
      </c>
      <c r="H273" s="31"/>
      <c r="I273" s="32"/>
      <c r="J273" s="32"/>
    </row>
    <row r="274" spans="1:10" ht="15" customHeight="1">
      <c r="A274" s="30"/>
      <c r="B274" s="32"/>
      <c r="C274" s="32"/>
      <c r="D274" s="30"/>
      <c r="E274" s="33" t="str">
        <f>IF(D274="","",IFERROR(INDEX(품목마스터!$B$2:$B$300,MATCH(D274,품목마스터!$A$2:$A$300,0)),"※미등록"))</f>
        <v/>
      </c>
      <c r="F274" s="32"/>
      <c r="G274" s="33" t="str">
        <f>IF(D274="","",IFERROR(INDEX(품목마스터!$G$2:$G$300,MATCH(D274,품목마스터!$A$2:$A$300,0)),"※미등록"))</f>
        <v/>
      </c>
      <c r="H274" s="31"/>
      <c r="I274" s="32"/>
      <c r="J274" s="32"/>
    </row>
    <row r="275" spans="1:10" ht="15" customHeight="1">
      <c r="A275" s="30"/>
      <c r="B275" s="32"/>
      <c r="C275" s="32"/>
      <c r="D275" s="30"/>
      <c r="E275" s="33" t="str">
        <f>IF(D275="","",IFERROR(INDEX(품목마스터!$B$2:$B$300,MATCH(D275,품목마스터!$A$2:$A$300,0)),"※미등록"))</f>
        <v/>
      </c>
      <c r="F275" s="32"/>
      <c r="G275" s="33" t="str">
        <f>IF(D275="","",IFERROR(INDEX(품목마스터!$G$2:$G$300,MATCH(D275,품목마스터!$A$2:$A$300,0)),"※미등록"))</f>
        <v/>
      </c>
      <c r="H275" s="31"/>
      <c r="I275" s="32"/>
      <c r="J275" s="32"/>
    </row>
    <row r="276" spans="1:10" ht="15" customHeight="1">
      <c r="A276" s="30"/>
      <c r="B276" s="32"/>
      <c r="C276" s="32"/>
      <c r="D276" s="30"/>
      <c r="E276" s="33" t="str">
        <f>IF(D276="","",IFERROR(INDEX(품목마스터!$B$2:$B$300,MATCH(D276,품목마스터!$A$2:$A$300,0)),"※미등록"))</f>
        <v/>
      </c>
      <c r="F276" s="32"/>
      <c r="G276" s="33" t="str">
        <f>IF(D276="","",IFERROR(INDEX(품목마스터!$G$2:$G$300,MATCH(D276,품목마스터!$A$2:$A$300,0)),"※미등록"))</f>
        <v/>
      </c>
      <c r="H276" s="31"/>
      <c r="I276" s="32"/>
      <c r="J276" s="32"/>
    </row>
    <row r="277" spans="1:10" ht="15" customHeight="1">
      <c r="A277" s="30"/>
      <c r="B277" s="32"/>
      <c r="C277" s="32"/>
      <c r="D277" s="30"/>
      <c r="E277" s="33" t="str">
        <f>IF(D277="","",IFERROR(INDEX(품목마스터!$B$2:$B$300,MATCH(D277,품목마스터!$A$2:$A$300,0)),"※미등록"))</f>
        <v/>
      </c>
      <c r="F277" s="32"/>
      <c r="G277" s="33" t="str">
        <f>IF(D277="","",IFERROR(INDEX(품목마스터!$G$2:$G$300,MATCH(D277,품목마스터!$A$2:$A$300,0)),"※미등록"))</f>
        <v/>
      </c>
      <c r="H277" s="31"/>
      <c r="I277" s="32"/>
      <c r="J277" s="32"/>
    </row>
    <row r="278" spans="1:10" ht="15" customHeight="1">
      <c r="A278" s="30"/>
      <c r="B278" s="32"/>
      <c r="C278" s="32"/>
      <c r="D278" s="30"/>
      <c r="E278" s="33" t="str">
        <f>IF(D278="","",IFERROR(INDEX(품목마스터!$B$2:$B$300,MATCH(D278,품목마스터!$A$2:$A$300,0)),"※미등록"))</f>
        <v/>
      </c>
      <c r="F278" s="32"/>
      <c r="G278" s="33" t="str">
        <f>IF(D278="","",IFERROR(INDEX(품목마스터!$G$2:$G$300,MATCH(D278,품목마스터!$A$2:$A$300,0)),"※미등록"))</f>
        <v/>
      </c>
      <c r="H278" s="31"/>
      <c r="I278" s="32"/>
      <c r="J278" s="32"/>
    </row>
    <row r="279" spans="1:10" ht="15" customHeight="1">
      <c r="A279" s="30"/>
      <c r="B279" s="32"/>
      <c r="C279" s="32"/>
      <c r="D279" s="30"/>
      <c r="E279" s="33" t="str">
        <f>IF(D279="","",IFERROR(INDEX(품목마스터!$B$2:$B$300,MATCH(D279,품목마스터!$A$2:$A$300,0)),"※미등록"))</f>
        <v/>
      </c>
      <c r="F279" s="32"/>
      <c r="G279" s="33" t="str">
        <f>IF(D279="","",IFERROR(INDEX(품목마스터!$G$2:$G$300,MATCH(D279,품목마스터!$A$2:$A$300,0)),"※미등록"))</f>
        <v/>
      </c>
      <c r="H279" s="31"/>
      <c r="I279" s="32"/>
      <c r="J279" s="32"/>
    </row>
    <row r="280" spans="1:10" ht="15" customHeight="1">
      <c r="A280" s="30"/>
      <c r="B280" s="32"/>
      <c r="C280" s="32"/>
      <c r="D280" s="30"/>
      <c r="E280" s="33" t="str">
        <f>IF(D280="","",IFERROR(INDEX(품목마스터!$B$2:$B$300,MATCH(D280,품목마스터!$A$2:$A$300,0)),"※미등록"))</f>
        <v/>
      </c>
      <c r="F280" s="32"/>
      <c r="G280" s="33" t="str">
        <f>IF(D280="","",IFERROR(INDEX(품목마스터!$G$2:$G$300,MATCH(D280,품목마스터!$A$2:$A$300,0)),"※미등록"))</f>
        <v/>
      </c>
      <c r="H280" s="31"/>
      <c r="I280" s="32"/>
      <c r="J280" s="32"/>
    </row>
    <row r="281" spans="1:10" ht="15" customHeight="1">
      <c r="A281" s="30"/>
      <c r="B281" s="32"/>
      <c r="C281" s="32"/>
      <c r="D281" s="30"/>
      <c r="E281" s="33" t="str">
        <f>IF(D281="","",IFERROR(INDEX(품목마스터!$B$2:$B$300,MATCH(D281,품목마스터!$A$2:$A$300,0)),"※미등록"))</f>
        <v/>
      </c>
      <c r="F281" s="32"/>
      <c r="G281" s="33" t="str">
        <f>IF(D281="","",IFERROR(INDEX(품목마스터!$G$2:$G$300,MATCH(D281,품목마스터!$A$2:$A$300,0)),"※미등록"))</f>
        <v/>
      </c>
      <c r="H281" s="31"/>
      <c r="I281" s="32"/>
      <c r="J281" s="32"/>
    </row>
    <row r="282" spans="1:10" ht="15" customHeight="1">
      <c r="A282" s="30"/>
      <c r="B282" s="32"/>
      <c r="C282" s="32"/>
      <c r="D282" s="30"/>
      <c r="E282" s="33" t="str">
        <f>IF(D282="","",IFERROR(INDEX(품목마스터!$B$2:$B$300,MATCH(D282,품목마스터!$A$2:$A$300,0)),"※미등록"))</f>
        <v/>
      </c>
      <c r="F282" s="32"/>
      <c r="G282" s="33" t="str">
        <f>IF(D282="","",IFERROR(INDEX(품목마스터!$G$2:$G$300,MATCH(D282,품목마스터!$A$2:$A$300,0)),"※미등록"))</f>
        <v/>
      </c>
      <c r="H282" s="31"/>
      <c r="I282" s="32"/>
      <c r="J282" s="32"/>
    </row>
    <row r="283" spans="1:10" ht="15" customHeight="1">
      <c r="A283" s="30"/>
      <c r="B283" s="32"/>
      <c r="C283" s="32"/>
      <c r="D283" s="30"/>
      <c r="E283" s="33" t="str">
        <f>IF(D283="","",IFERROR(INDEX(품목마스터!$B$2:$B$300,MATCH(D283,품목마스터!$A$2:$A$300,0)),"※미등록"))</f>
        <v/>
      </c>
      <c r="F283" s="32"/>
      <c r="G283" s="33" t="str">
        <f>IF(D283="","",IFERROR(INDEX(품목마스터!$G$2:$G$300,MATCH(D283,품목마스터!$A$2:$A$300,0)),"※미등록"))</f>
        <v/>
      </c>
      <c r="H283" s="31"/>
      <c r="I283" s="32"/>
      <c r="J283" s="32"/>
    </row>
    <row r="284" spans="1:10" ht="15" customHeight="1">
      <c r="A284" s="30"/>
      <c r="B284" s="32"/>
      <c r="C284" s="32"/>
      <c r="D284" s="30"/>
      <c r="E284" s="33" t="str">
        <f>IF(D284="","",IFERROR(INDEX(품목마스터!$B$2:$B$300,MATCH(D284,품목마스터!$A$2:$A$300,0)),"※미등록"))</f>
        <v/>
      </c>
      <c r="F284" s="32"/>
      <c r="G284" s="33" t="str">
        <f>IF(D284="","",IFERROR(INDEX(품목마스터!$G$2:$G$300,MATCH(D284,품목마스터!$A$2:$A$300,0)),"※미등록"))</f>
        <v/>
      </c>
      <c r="H284" s="31"/>
      <c r="I284" s="32"/>
      <c r="J284" s="32"/>
    </row>
    <row r="285" spans="1:10" ht="15" customHeight="1">
      <c r="A285" s="30"/>
      <c r="B285" s="32"/>
      <c r="C285" s="32"/>
      <c r="D285" s="30"/>
      <c r="E285" s="33" t="str">
        <f>IF(D285="","",IFERROR(INDEX(품목마스터!$B$2:$B$300,MATCH(D285,품목마스터!$A$2:$A$300,0)),"※미등록"))</f>
        <v/>
      </c>
      <c r="F285" s="32"/>
      <c r="G285" s="33" t="str">
        <f>IF(D285="","",IFERROR(INDEX(품목마스터!$G$2:$G$300,MATCH(D285,품목마스터!$A$2:$A$300,0)),"※미등록"))</f>
        <v/>
      </c>
      <c r="H285" s="31"/>
      <c r="I285" s="32"/>
      <c r="J285" s="32"/>
    </row>
    <row r="286" spans="1:10" ht="15" customHeight="1">
      <c r="A286" s="30"/>
      <c r="B286" s="32"/>
      <c r="C286" s="32"/>
      <c r="D286" s="30"/>
      <c r="E286" s="33" t="str">
        <f>IF(D286="","",IFERROR(INDEX(품목마스터!$B$2:$B$300,MATCH(D286,품목마스터!$A$2:$A$300,0)),"※미등록"))</f>
        <v/>
      </c>
      <c r="F286" s="32"/>
      <c r="G286" s="33" t="str">
        <f>IF(D286="","",IFERROR(INDEX(품목마스터!$G$2:$G$300,MATCH(D286,품목마스터!$A$2:$A$300,0)),"※미등록"))</f>
        <v/>
      </c>
      <c r="H286" s="31"/>
      <c r="I286" s="32"/>
      <c r="J286" s="32"/>
    </row>
    <row r="287" spans="1:10" ht="15" customHeight="1">
      <c r="A287" s="30"/>
      <c r="B287" s="32"/>
      <c r="C287" s="32"/>
      <c r="D287" s="30"/>
      <c r="E287" s="33" t="str">
        <f>IF(D287="","",IFERROR(INDEX(품목마스터!$B$2:$B$300,MATCH(D287,품목마스터!$A$2:$A$300,0)),"※미등록"))</f>
        <v/>
      </c>
      <c r="F287" s="32"/>
      <c r="G287" s="33" t="str">
        <f>IF(D287="","",IFERROR(INDEX(품목마스터!$G$2:$G$300,MATCH(D287,품목마스터!$A$2:$A$300,0)),"※미등록"))</f>
        <v/>
      </c>
      <c r="H287" s="31"/>
      <c r="I287" s="32"/>
      <c r="J287" s="32"/>
    </row>
    <row r="288" spans="1:10" ht="15" customHeight="1">
      <c r="A288" s="30"/>
      <c r="B288" s="32"/>
      <c r="C288" s="32"/>
      <c r="D288" s="30"/>
      <c r="E288" s="33" t="str">
        <f>IF(D288="","",IFERROR(INDEX(품목마스터!$B$2:$B$300,MATCH(D288,품목마스터!$A$2:$A$300,0)),"※미등록"))</f>
        <v/>
      </c>
      <c r="F288" s="32"/>
      <c r="G288" s="33" t="str">
        <f>IF(D288="","",IFERROR(INDEX(품목마스터!$G$2:$G$300,MATCH(D288,품목마스터!$A$2:$A$300,0)),"※미등록"))</f>
        <v/>
      </c>
      <c r="H288" s="31"/>
      <c r="I288" s="32"/>
      <c r="J288" s="32"/>
    </row>
    <row r="289" spans="1:10" ht="15" customHeight="1">
      <c r="A289" s="30"/>
      <c r="B289" s="32"/>
      <c r="C289" s="32"/>
      <c r="D289" s="30"/>
      <c r="E289" s="33" t="str">
        <f>IF(D289="","",IFERROR(INDEX(품목마스터!$B$2:$B$300,MATCH(D289,품목마스터!$A$2:$A$300,0)),"※미등록"))</f>
        <v/>
      </c>
      <c r="F289" s="32"/>
      <c r="G289" s="33" t="str">
        <f>IF(D289="","",IFERROR(INDEX(품목마스터!$G$2:$G$300,MATCH(D289,품목마스터!$A$2:$A$300,0)),"※미등록"))</f>
        <v/>
      </c>
      <c r="H289" s="31"/>
      <c r="I289" s="32"/>
      <c r="J289" s="32"/>
    </row>
    <row r="290" spans="1:10" ht="15" customHeight="1">
      <c r="A290" s="30"/>
      <c r="B290" s="32"/>
      <c r="C290" s="32"/>
      <c r="D290" s="30"/>
      <c r="E290" s="33" t="str">
        <f>IF(D290="","",IFERROR(INDEX(품목마스터!$B$2:$B$300,MATCH(D290,품목마스터!$A$2:$A$300,0)),"※미등록"))</f>
        <v/>
      </c>
      <c r="F290" s="32"/>
      <c r="G290" s="33" t="str">
        <f>IF(D290="","",IFERROR(INDEX(품목마스터!$G$2:$G$300,MATCH(D290,품목마스터!$A$2:$A$300,0)),"※미등록"))</f>
        <v/>
      </c>
      <c r="H290" s="31"/>
      <c r="I290" s="32"/>
      <c r="J290" s="32"/>
    </row>
    <row r="291" spans="1:10" ht="15" customHeight="1">
      <c r="A291" s="30"/>
      <c r="B291" s="32"/>
      <c r="C291" s="32"/>
      <c r="D291" s="30"/>
      <c r="E291" s="33" t="str">
        <f>IF(D291="","",IFERROR(INDEX(품목마스터!$B$2:$B$300,MATCH(D291,품목마스터!$A$2:$A$300,0)),"※미등록"))</f>
        <v/>
      </c>
      <c r="F291" s="32"/>
      <c r="G291" s="33" t="str">
        <f>IF(D291="","",IFERROR(INDEX(품목마스터!$G$2:$G$300,MATCH(D291,품목마스터!$A$2:$A$300,0)),"※미등록"))</f>
        <v/>
      </c>
      <c r="H291" s="31"/>
      <c r="I291" s="32"/>
      <c r="J291" s="32"/>
    </row>
    <row r="292" spans="1:10" ht="15" customHeight="1">
      <c r="A292" s="30"/>
      <c r="B292" s="32"/>
      <c r="C292" s="32"/>
      <c r="D292" s="30"/>
      <c r="E292" s="33" t="str">
        <f>IF(D292="","",IFERROR(INDEX(품목마스터!$B$2:$B$300,MATCH(D292,품목마스터!$A$2:$A$300,0)),"※미등록"))</f>
        <v/>
      </c>
      <c r="F292" s="32"/>
      <c r="G292" s="33" t="str">
        <f>IF(D292="","",IFERROR(INDEX(품목마스터!$G$2:$G$300,MATCH(D292,품목마스터!$A$2:$A$300,0)),"※미등록"))</f>
        <v/>
      </c>
      <c r="H292" s="31"/>
      <c r="I292" s="32"/>
      <c r="J292" s="32"/>
    </row>
    <row r="293" spans="1:10" ht="15" customHeight="1">
      <c r="A293" s="30"/>
      <c r="B293" s="32"/>
      <c r="C293" s="32"/>
      <c r="D293" s="30"/>
      <c r="E293" s="33" t="str">
        <f>IF(D293="","",IFERROR(INDEX(품목마스터!$B$2:$B$300,MATCH(D293,품목마스터!$A$2:$A$300,0)),"※미등록"))</f>
        <v/>
      </c>
      <c r="F293" s="32"/>
      <c r="G293" s="33" t="str">
        <f>IF(D293="","",IFERROR(INDEX(품목마스터!$G$2:$G$300,MATCH(D293,품목마스터!$A$2:$A$300,0)),"※미등록"))</f>
        <v/>
      </c>
      <c r="H293" s="31"/>
      <c r="I293" s="32"/>
      <c r="J293" s="32"/>
    </row>
    <row r="294" spans="1:10" ht="15" customHeight="1">
      <c r="A294" s="30"/>
      <c r="B294" s="32"/>
      <c r="C294" s="32"/>
      <c r="D294" s="30"/>
      <c r="E294" s="33" t="str">
        <f>IF(D294="","",IFERROR(INDEX(품목마스터!$B$2:$B$300,MATCH(D294,품목마스터!$A$2:$A$300,0)),"※미등록"))</f>
        <v/>
      </c>
      <c r="F294" s="32"/>
      <c r="G294" s="33" t="str">
        <f>IF(D294="","",IFERROR(INDEX(품목마스터!$G$2:$G$300,MATCH(D294,품목마스터!$A$2:$A$300,0)),"※미등록"))</f>
        <v/>
      </c>
      <c r="H294" s="31"/>
      <c r="I294" s="32"/>
      <c r="J294" s="32"/>
    </row>
    <row r="295" spans="1:10" ht="15" customHeight="1">
      <c r="A295" s="30"/>
      <c r="B295" s="32"/>
      <c r="C295" s="32"/>
      <c r="D295" s="30"/>
      <c r="E295" s="33" t="str">
        <f>IF(D295="","",IFERROR(INDEX(품목마스터!$B$2:$B$300,MATCH(D295,품목마스터!$A$2:$A$300,0)),"※미등록"))</f>
        <v/>
      </c>
      <c r="F295" s="32"/>
      <c r="G295" s="33" t="str">
        <f>IF(D295="","",IFERROR(INDEX(품목마스터!$G$2:$G$300,MATCH(D295,품목마스터!$A$2:$A$300,0)),"※미등록"))</f>
        <v/>
      </c>
      <c r="H295" s="31"/>
      <c r="I295" s="32"/>
      <c r="J295" s="32"/>
    </row>
    <row r="296" spans="1:10" ht="15" customHeight="1">
      <c r="A296" s="30"/>
      <c r="B296" s="32"/>
      <c r="C296" s="32"/>
      <c r="D296" s="30"/>
      <c r="E296" s="33" t="str">
        <f>IF(D296="","",IFERROR(INDEX(품목마스터!$B$2:$B$300,MATCH(D296,품목마스터!$A$2:$A$300,0)),"※미등록"))</f>
        <v/>
      </c>
      <c r="F296" s="32"/>
      <c r="G296" s="33" t="str">
        <f>IF(D296="","",IFERROR(INDEX(품목마스터!$G$2:$G$300,MATCH(D296,품목마스터!$A$2:$A$300,0)),"※미등록"))</f>
        <v/>
      </c>
      <c r="H296" s="31"/>
      <c r="I296" s="32"/>
      <c r="J296" s="32"/>
    </row>
    <row r="297" spans="1:10" ht="15" customHeight="1">
      <c r="A297" s="30"/>
      <c r="B297" s="32"/>
      <c r="C297" s="32"/>
      <c r="D297" s="30"/>
      <c r="E297" s="33" t="str">
        <f>IF(D297="","",IFERROR(INDEX(품목마스터!$B$2:$B$300,MATCH(D297,품목마스터!$A$2:$A$300,0)),"※미등록"))</f>
        <v/>
      </c>
      <c r="F297" s="32"/>
      <c r="G297" s="33" t="str">
        <f>IF(D297="","",IFERROR(INDEX(품목마스터!$G$2:$G$300,MATCH(D297,품목마스터!$A$2:$A$300,0)),"※미등록"))</f>
        <v/>
      </c>
      <c r="H297" s="31"/>
      <c r="I297" s="32"/>
      <c r="J297" s="32"/>
    </row>
    <row r="298" spans="1:10" ht="15" customHeight="1">
      <c r="A298" s="30"/>
      <c r="B298" s="32"/>
      <c r="C298" s="32"/>
      <c r="D298" s="30"/>
      <c r="E298" s="33" t="str">
        <f>IF(D298="","",IFERROR(INDEX(품목마스터!$B$2:$B$300,MATCH(D298,품목마스터!$A$2:$A$300,0)),"※미등록"))</f>
        <v/>
      </c>
      <c r="F298" s="32"/>
      <c r="G298" s="33" t="str">
        <f>IF(D298="","",IFERROR(INDEX(품목마스터!$G$2:$G$300,MATCH(D298,품목마스터!$A$2:$A$300,0)),"※미등록"))</f>
        <v/>
      </c>
      <c r="H298" s="31"/>
      <c r="I298" s="32"/>
      <c r="J298" s="32"/>
    </row>
    <row r="299" spans="1:10" ht="15" customHeight="1">
      <c r="A299" s="30"/>
      <c r="B299" s="32"/>
      <c r="C299" s="32"/>
      <c r="D299" s="30"/>
      <c r="E299" s="33" t="str">
        <f>IF(D299="","",IFERROR(INDEX(품목마스터!$B$2:$B$300,MATCH(D299,품목마스터!$A$2:$A$300,0)),"※미등록"))</f>
        <v/>
      </c>
      <c r="F299" s="32"/>
      <c r="G299" s="33" t="str">
        <f>IF(D299="","",IFERROR(INDEX(품목마스터!$G$2:$G$300,MATCH(D299,품목마스터!$A$2:$A$300,0)),"※미등록"))</f>
        <v/>
      </c>
      <c r="H299" s="31"/>
      <c r="I299" s="32"/>
      <c r="J299" s="32"/>
    </row>
    <row r="300" spans="1:10" ht="15" customHeight="1">
      <c r="A300" s="30"/>
      <c r="B300" s="32"/>
      <c r="C300" s="32"/>
      <c r="D300" s="30"/>
      <c r="E300" s="33" t="str">
        <f>IF(D300="","",IFERROR(INDEX(품목마스터!$B$2:$B$300,MATCH(D300,품목마스터!$A$2:$A$300,0)),"※미등록"))</f>
        <v/>
      </c>
      <c r="F300" s="32"/>
      <c r="G300" s="33" t="str">
        <f>IF(D300="","",IFERROR(INDEX(품목마스터!$G$2:$G$300,MATCH(D300,품목마스터!$A$2:$A$300,0)),"※미등록"))</f>
        <v/>
      </c>
      <c r="H300" s="31"/>
      <c r="I300" s="32"/>
      <c r="J300" s="32"/>
    </row>
  </sheetData>
  <autoFilter ref="A1:J300" xr:uid="{00000000-0009-0000-0000-000003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입력 오류" error="코드표에 등록된 값만 입력할 수 있습니다." xr:uid="{00000000-0002-0000-0300-000000000000}">
          <x14:formula1>
            <xm:f>코드표!$I$2:$I$3</xm:f>
          </x14:formula1>
          <x14:formula2>
            <xm:f>0</xm:f>
          </x14:formula2>
          <xm:sqref>H2:H300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20" customWidth="1"/>
    <col min="3" max="3" width="12" customWidth="1"/>
    <col min="4" max="4" width="8" customWidth="1"/>
    <col min="5" max="5" width="12" customWidth="1"/>
    <col min="6" max="6" width="14" customWidth="1"/>
    <col min="7" max="7" width="24" customWidth="1"/>
    <col min="8" max="8" width="22" customWidth="1"/>
    <col min="9" max="9" width="24" customWidth="1"/>
  </cols>
  <sheetData>
    <row r="1" spans="1:9" ht="30" customHeight="1">
      <c r="A1" s="28" t="s">
        <v>314</v>
      </c>
      <c r="B1" s="28" t="s">
        <v>315</v>
      </c>
      <c r="C1" s="28" t="s">
        <v>316</v>
      </c>
      <c r="D1" s="28" t="s">
        <v>317</v>
      </c>
      <c r="E1" s="28" t="s">
        <v>318</v>
      </c>
      <c r="F1" s="28" t="s">
        <v>319</v>
      </c>
      <c r="G1" s="28" t="s">
        <v>320</v>
      </c>
      <c r="H1" s="28" t="s">
        <v>321</v>
      </c>
      <c r="I1" s="28" t="s">
        <v>183</v>
      </c>
    </row>
    <row r="2" spans="1:9" ht="15" customHeight="1">
      <c r="A2" s="30" t="s">
        <v>322</v>
      </c>
      <c r="B2" s="32" t="s">
        <v>323</v>
      </c>
      <c r="C2" s="31" t="s">
        <v>324</v>
      </c>
      <c r="D2" s="32" t="s">
        <v>325</v>
      </c>
      <c r="E2" s="31" t="s">
        <v>326</v>
      </c>
      <c r="F2" s="32" t="s">
        <v>327</v>
      </c>
      <c r="G2" s="32" t="s">
        <v>328</v>
      </c>
      <c r="H2" s="31" t="s">
        <v>329</v>
      </c>
      <c r="I2" s="31" t="s">
        <v>190</v>
      </c>
    </row>
    <row r="3" spans="1:9" ht="15" customHeight="1">
      <c r="A3" s="30" t="s">
        <v>330</v>
      </c>
      <c r="B3" s="32" t="s">
        <v>331</v>
      </c>
      <c r="C3" s="31" t="s">
        <v>324</v>
      </c>
      <c r="D3" s="32" t="s">
        <v>325</v>
      </c>
      <c r="E3" s="31" t="s">
        <v>332</v>
      </c>
      <c r="F3" s="32" t="s">
        <v>333</v>
      </c>
      <c r="G3" s="32" t="s">
        <v>334</v>
      </c>
      <c r="H3" s="31" t="s">
        <v>226</v>
      </c>
      <c r="I3" s="31" t="s">
        <v>190</v>
      </c>
    </row>
    <row r="4" spans="1:9" ht="15" customHeight="1">
      <c r="A4" s="30" t="s">
        <v>335</v>
      </c>
      <c r="B4" s="32" t="s">
        <v>336</v>
      </c>
      <c r="C4" s="32" t="s">
        <v>337</v>
      </c>
      <c r="D4" s="32" t="s">
        <v>338</v>
      </c>
      <c r="E4" s="31" t="s">
        <v>339</v>
      </c>
      <c r="F4" s="32" t="s">
        <v>340</v>
      </c>
      <c r="G4" s="32" t="s">
        <v>341</v>
      </c>
      <c r="H4" s="31" t="s">
        <v>342</v>
      </c>
      <c r="I4" s="31" t="s">
        <v>190</v>
      </c>
    </row>
    <row r="5" spans="1:9" ht="15" customHeight="1">
      <c r="A5" s="30" t="s">
        <v>343</v>
      </c>
      <c r="B5" s="32" t="s">
        <v>344</v>
      </c>
      <c r="C5" s="31" t="s">
        <v>345</v>
      </c>
      <c r="D5" s="32" t="s">
        <v>325</v>
      </c>
      <c r="E5" s="31" t="s">
        <v>346</v>
      </c>
      <c r="F5" s="32" t="s">
        <v>347</v>
      </c>
      <c r="G5" s="32" t="s">
        <v>348</v>
      </c>
      <c r="H5" s="31" t="s">
        <v>349</v>
      </c>
      <c r="I5" s="31" t="s">
        <v>190</v>
      </c>
    </row>
    <row r="6" spans="1:9" ht="15" customHeight="1">
      <c r="A6" s="30" t="s">
        <v>350</v>
      </c>
      <c r="B6" s="32" t="s">
        <v>351</v>
      </c>
      <c r="C6" s="31" t="s">
        <v>291</v>
      </c>
      <c r="D6" s="32" t="s">
        <v>325</v>
      </c>
      <c r="E6" s="32" t="s">
        <v>113</v>
      </c>
      <c r="F6" s="32" t="s">
        <v>113</v>
      </c>
      <c r="G6" s="32" t="s">
        <v>113</v>
      </c>
      <c r="H6" s="31" t="s">
        <v>352</v>
      </c>
      <c r="I6" s="31" t="s">
        <v>190</v>
      </c>
    </row>
    <row r="7" spans="1:9" ht="15" customHeight="1">
      <c r="A7" s="30"/>
      <c r="B7" s="32"/>
      <c r="C7" s="32"/>
      <c r="D7" s="32"/>
      <c r="E7" s="32"/>
      <c r="F7" s="32"/>
      <c r="G7" s="32"/>
      <c r="H7" s="32"/>
      <c r="I7" s="32"/>
    </row>
    <row r="8" spans="1:9" ht="15" customHeight="1">
      <c r="A8" s="30"/>
      <c r="B8" s="32"/>
      <c r="C8" s="32"/>
      <c r="D8" s="32"/>
      <c r="E8" s="32"/>
      <c r="F8" s="32"/>
      <c r="G8" s="32"/>
      <c r="H8" s="32"/>
      <c r="I8" s="32"/>
    </row>
    <row r="9" spans="1:9" ht="15" customHeight="1">
      <c r="A9" s="30"/>
      <c r="B9" s="32"/>
      <c r="C9" s="32"/>
      <c r="D9" s="32"/>
      <c r="E9" s="32"/>
      <c r="F9" s="32"/>
      <c r="G9" s="32"/>
      <c r="H9" s="32"/>
      <c r="I9" s="32"/>
    </row>
    <row r="10" spans="1:9" ht="15" customHeight="1">
      <c r="A10" s="30"/>
      <c r="B10" s="32"/>
      <c r="C10" s="32"/>
      <c r="D10" s="32"/>
      <c r="E10" s="32"/>
      <c r="F10" s="32"/>
      <c r="G10" s="32"/>
      <c r="H10" s="32"/>
      <c r="I10" s="32"/>
    </row>
    <row r="11" spans="1:9" ht="15" customHeight="1">
      <c r="A11" s="30"/>
      <c r="B11" s="32"/>
      <c r="C11" s="32"/>
      <c r="D11" s="32"/>
      <c r="E11" s="32"/>
      <c r="F11" s="32"/>
      <c r="G11" s="32"/>
      <c r="H11" s="32"/>
      <c r="I11" s="32"/>
    </row>
    <row r="12" spans="1:9" ht="15" customHeight="1">
      <c r="A12" s="30"/>
      <c r="B12" s="32"/>
      <c r="C12" s="32"/>
      <c r="D12" s="32"/>
      <c r="E12" s="32"/>
      <c r="F12" s="32"/>
      <c r="G12" s="32"/>
      <c r="H12" s="32"/>
      <c r="I12" s="32"/>
    </row>
    <row r="13" spans="1:9" ht="15" customHeight="1">
      <c r="A13" s="30"/>
      <c r="B13" s="32"/>
      <c r="C13" s="32"/>
      <c r="D13" s="32"/>
      <c r="E13" s="32"/>
      <c r="F13" s="32"/>
      <c r="G13" s="32"/>
      <c r="H13" s="32"/>
      <c r="I13" s="32"/>
    </row>
    <row r="14" spans="1:9" ht="15" customHeight="1">
      <c r="A14" s="30"/>
      <c r="B14" s="32"/>
      <c r="C14" s="32"/>
      <c r="D14" s="32"/>
      <c r="E14" s="32"/>
      <c r="F14" s="32"/>
      <c r="G14" s="32"/>
      <c r="H14" s="32"/>
      <c r="I14" s="32"/>
    </row>
    <row r="15" spans="1:9" ht="15" customHeight="1">
      <c r="A15" s="30"/>
      <c r="B15" s="32"/>
      <c r="C15" s="32"/>
      <c r="D15" s="32"/>
      <c r="E15" s="32"/>
      <c r="F15" s="32"/>
      <c r="G15" s="32"/>
      <c r="H15" s="32"/>
      <c r="I15" s="32"/>
    </row>
    <row r="16" spans="1:9" ht="15" customHeight="1">
      <c r="A16" s="30"/>
      <c r="B16" s="32"/>
      <c r="C16" s="32"/>
      <c r="D16" s="32"/>
      <c r="E16" s="32"/>
      <c r="F16" s="32"/>
      <c r="G16" s="32"/>
      <c r="H16" s="32"/>
      <c r="I16" s="32"/>
    </row>
    <row r="17" spans="1:9" ht="15" customHeight="1">
      <c r="A17" s="30"/>
      <c r="B17" s="32"/>
      <c r="C17" s="32"/>
      <c r="D17" s="32"/>
      <c r="E17" s="32"/>
      <c r="F17" s="32"/>
      <c r="G17" s="32"/>
      <c r="H17" s="32"/>
      <c r="I17" s="32"/>
    </row>
    <row r="18" spans="1:9" ht="15" customHeight="1">
      <c r="A18" s="30"/>
      <c r="B18" s="32"/>
      <c r="C18" s="32"/>
      <c r="D18" s="32"/>
      <c r="E18" s="32"/>
      <c r="F18" s="32"/>
      <c r="G18" s="32"/>
      <c r="H18" s="32"/>
      <c r="I18" s="32"/>
    </row>
    <row r="19" spans="1:9" ht="15" customHeight="1">
      <c r="A19" s="30"/>
      <c r="B19" s="32"/>
      <c r="C19" s="32"/>
      <c r="D19" s="32"/>
      <c r="E19" s="32"/>
      <c r="F19" s="32"/>
      <c r="G19" s="32"/>
      <c r="H19" s="32"/>
      <c r="I19" s="32"/>
    </row>
    <row r="20" spans="1:9" ht="15" customHeight="1">
      <c r="A20" s="30"/>
      <c r="B20" s="32"/>
      <c r="C20" s="32"/>
      <c r="D20" s="32"/>
      <c r="E20" s="32"/>
      <c r="F20" s="32"/>
      <c r="G20" s="32"/>
      <c r="H20" s="32"/>
      <c r="I20" s="32"/>
    </row>
    <row r="21" spans="1:9" ht="15" customHeight="1">
      <c r="A21" s="30"/>
      <c r="B21" s="32"/>
      <c r="C21" s="32"/>
      <c r="D21" s="32"/>
      <c r="E21" s="32"/>
      <c r="F21" s="32"/>
      <c r="G21" s="32"/>
      <c r="H21" s="32"/>
      <c r="I21" s="32"/>
    </row>
    <row r="22" spans="1:9" ht="15" customHeight="1">
      <c r="A22" s="30"/>
      <c r="B22" s="32"/>
      <c r="C22" s="32"/>
      <c r="D22" s="32"/>
      <c r="E22" s="32"/>
      <c r="F22" s="32"/>
      <c r="G22" s="32"/>
      <c r="H22" s="32"/>
      <c r="I22" s="32"/>
    </row>
    <row r="23" spans="1:9" ht="15" customHeight="1">
      <c r="A23" s="30"/>
      <c r="B23" s="32"/>
      <c r="C23" s="32"/>
      <c r="D23" s="32"/>
      <c r="E23" s="32"/>
      <c r="F23" s="32"/>
      <c r="G23" s="32"/>
      <c r="H23" s="32"/>
      <c r="I23" s="32"/>
    </row>
    <row r="24" spans="1:9" ht="15" customHeight="1">
      <c r="A24" s="30"/>
      <c r="B24" s="32"/>
      <c r="C24" s="32"/>
      <c r="D24" s="32"/>
      <c r="E24" s="32"/>
      <c r="F24" s="32"/>
      <c r="G24" s="32"/>
      <c r="H24" s="32"/>
      <c r="I24" s="32"/>
    </row>
    <row r="25" spans="1:9" ht="15" customHeight="1">
      <c r="A25" s="30"/>
      <c r="B25" s="32"/>
      <c r="C25" s="32"/>
      <c r="D25" s="32"/>
      <c r="E25" s="32"/>
      <c r="F25" s="32"/>
      <c r="G25" s="32"/>
      <c r="H25" s="32"/>
      <c r="I25" s="32"/>
    </row>
    <row r="26" spans="1:9" ht="15" customHeight="1">
      <c r="A26" s="30"/>
      <c r="B26" s="32"/>
      <c r="C26" s="32"/>
      <c r="D26" s="32"/>
      <c r="E26" s="32"/>
      <c r="F26" s="32"/>
      <c r="G26" s="32"/>
      <c r="H26" s="32"/>
      <c r="I26" s="32"/>
    </row>
    <row r="27" spans="1:9" ht="15" customHeight="1">
      <c r="A27" s="30"/>
      <c r="B27" s="32"/>
      <c r="C27" s="32"/>
      <c r="D27" s="32"/>
      <c r="E27" s="32"/>
      <c r="F27" s="32"/>
      <c r="G27" s="32"/>
      <c r="H27" s="32"/>
      <c r="I27" s="32"/>
    </row>
    <row r="28" spans="1:9" ht="15" customHeight="1">
      <c r="A28" s="30"/>
      <c r="B28" s="32"/>
      <c r="C28" s="32"/>
      <c r="D28" s="32"/>
      <c r="E28" s="32"/>
      <c r="F28" s="32"/>
      <c r="G28" s="32"/>
      <c r="H28" s="32"/>
      <c r="I28" s="32"/>
    </row>
    <row r="29" spans="1:9" ht="15" customHeight="1">
      <c r="A29" s="30"/>
      <c r="B29" s="32"/>
      <c r="C29" s="32"/>
      <c r="D29" s="32"/>
      <c r="E29" s="32"/>
      <c r="F29" s="32"/>
      <c r="G29" s="32"/>
      <c r="H29" s="32"/>
      <c r="I29" s="32"/>
    </row>
    <row r="30" spans="1:9" ht="15" customHeight="1">
      <c r="A30" s="30"/>
      <c r="B30" s="32"/>
      <c r="C30" s="32"/>
      <c r="D30" s="32"/>
      <c r="E30" s="32"/>
      <c r="F30" s="32"/>
      <c r="G30" s="32"/>
      <c r="H30" s="32"/>
      <c r="I30" s="32"/>
    </row>
    <row r="31" spans="1:9" ht="15" customHeight="1">
      <c r="A31" s="30"/>
      <c r="B31" s="32"/>
      <c r="C31" s="32"/>
      <c r="D31" s="32"/>
      <c r="E31" s="32"/>
      <c r="F31" s="32"/>
      <c r="G31" s="32"/>
      <c r="H31" s="32"/>
      <c r="I31" s="32"/>
    </row>
    <row r="32" spans="1:9" ht="15" customHeight="1">
      <c r="A32" s="30"/>
      <c r="B32" s="32"/>
      <c r="C32" s="32"/>
      <c r="D32" s="32"/>
      <c r="E32" s="32"/>
      <c r="F32" s="32"/>
      <c r="G32" s="32"/>
      <c r="H32" s="32"/>
      <c r="I32" s="32"/>
    </row>
    <row r="33" spans="1:9" ht="15" customHeight="1">
      <c r="A33" s="30"/>
      <c r="B33" s="32"/>
      <c r="C33" s="32"/>
      <c r="D33" s="32"/>
      <c r="E33" s="32"/>
      <c r="F33" s="32"/>
      <c r="G33" s="32"/>
      <c r="H33" s="32"/>
      <c r="I33" s="32"/>
    </row>
    <row r="34" spans="1:9" ht="15" customHeight="1">
      <c r="A34" s="30"/>
      <c r="B34" s="32"/>
      <c r="C34" s="32"/>
      <c r="D34" s="32"/>
      <c r="E34" s="32"/>
      <c r="F34" s="32"/>
      <c r="G34" s="32"/>
      <c r="H34" s="32"/>
      <c r="I34" s="32"/>
    </row>
    <row r="35" spans="1:9" ht="15" customHeight="1">
      <c r="A35" s="30"/>
      <c r="B35" s="32"/>
      <c r="C35" s="32"/>
      <c r="D35" s="32"/>
      <c r="E35" s="32"/>
      <c r="F35" s="32"/>
      <c r="G35" s="32"/>
      <c r="H35" s="32"/>
      <c r="I35" s="32"/>
    </row>
    <row r="36" spans="1:9" ht="15" customHeight="1">
      <c r="A36" s="30"/>
      <c r="B36" s="32"/>
      <c r="C36" s="32"/>
      <c r="D36" s="32"/>
      <c r="E36" s="32"/>
      <c r="F36" s="32"/>
      <c r="G36" s="32"/>
      <c r="H36" s="32"/>
      <c r="I36" s="32"/>
    </row>
    <row r="37" spans="1:9" ht="15" customHeight="1">
      <c r="A37" s="30"/>
      <c r="B37" s="32"/>
      <c r="C37" s="32"/>
      <c r="D37" s="32"/>
      <c r="E37" s="32"/>
      <c r="F37" s="32"/>
      <c r="G37" s="32"/>
      <c r="H37" s="32"/>
      <c r="I37" s="32"/>
    </row>
    <row r="38" spans="1:9" ht="15" customHeight="1">
      <c r="A38" s="30"/>
      <c r="B38" s="32"/>
      <c r="C38" s="32"/>
      <c r="D38" s="32"/>
      <c r="E38" s="32"/>
      <c r="F38" s="32"/>
      <c r="G38" s="32"/>
      <c r="H38" s="32"/>
      <c r="I38" s="32"/>
    </row>
    <row r="39" spans="1:9" ht="15" customHeight="1">
      <c r="A39" s="30"/>
      <c r="B39" s="32"/>
      <c r="C39" s="32"/>
      <c r="D39" s="32"/>
      <c r="E39" s="32"/>
      <c r="F39" s="32"/>
      <c r="G39" s="32"/>
      <c r="H39" s="32"/>
      <c r="I39" s="32"/>
    </row>
    <row r="40" spans="1:9" ht="15" customHeight="1">
      <c r="A40" s="30"/>
      <c r="B40" s="32"/>
      <c r="C40" s="32"/>
      <c r="D40" s="32"/>
      <c r="E40" s="32"/>
      <c r="F40" s="32"/>
      <c r="G40" s="32"/>
      <c r="H40" s="32"/>
      <c r="I40" s="32"/>
    </row>
    <row r="41" spans="1:9" ht="15" customHeight="1">
      <c r="A41" s="30"/>
      <c r="B41" s="32"/>
      <c r="C41" s="32"/>
      <c r="D41" s="32"/>
      <c r="E41" s="32"/>
      <c r="F41" s="32"/>
      <c r="G41" s="32"/>
      <c r="H41" s="32"/>
      <c r="I41" s="32"/>
    </row>
    <row r="42" spans="1:9" ht="15" customHeight="1">
      <c r="A42" s="30"/>
      <c r="B42" s="32"/>
      <c r="C42" s="32"/>
      <c r="D42" s="32"/>
      <c r="E42" s="32"/>
      <c r="F42" s="32"/>
      <c r="G42" s="32"/>
      <c r="H42" s="32"/>
      <c r="I42" s="32"/>
    </row>
    <row r="43" spans="1:9" ht="15" customHeight="1">
      <c r="A43" s="30"/>
      <c r="B43" s="32"/>
      <c r="C43" s="32"/>
      <c r="D43" s="32"/>
      <c r="E43" s="32"/>
      <c r="F43" s="32"/>
      <c r="G43" s="32"/>
      <c r="H43" s="32"/>
      <c r="I43" s="32"/>
    </row>
    <row r="44" spans="1:9" ht="15" customHeight="1">
      <c r="A44" s="30"/>
      <c r="B44" s="32"/>
      <c r="C44" s="32"/>
      <c r="D44" s="32"/>
      <c r="E44" s="32"/>
      <c r="F44" s="32"/>
      <c r="G44" s="32"/>
      <c r="H44" s="32"/>
      <c r="I44" s="32"/>
    </row>
    <row r="45" spans="1:9" ht="15" customHeight="1">
      <c r="A45" s="30"/>
      <c r="B45" s="32"/>
      <c r="C45" s="32"/>
      <c r="D45" s="32"/>
      <c r="E45" s="32"/>
      <c r="F45" s="32"/>
      <c r="G45" s="32"/>
      <c r="H45" s="32"/>
      <c r="I45" s="32"/>
    </row>
    <row r="46" spans="1:9" ht="15" customHeight="1">
      <c r="A46" s="30"/>
      <c r="B46" s="32"/>
      <c r="C46" s="32"/>
      <c r="D46" s="32"/>
      <c r="E46" s="32"/>
      <c r="F46" s="32"/>
      <c r="G46" s="32"/>
      <c r="H46" s="32"/>
      <c r="I46" s="32"/>
    </row>
    <row r="47" spans="1:9" ht="15" customHeight="1">
      <c r="A47" s="30"/>
      <c r="B47" s="32"/>
      <c r="C47" s="32"/>
      <c r="D47" s="32"/>
      <c r="E47" s="32"/>
      <c r="F47" s="32"/>
      <c r="G47" s="32"/>
      <c r="H47" s="32"/>
      <c r="I47" s="32"/>
    </row>
    <row r="48" spans="1:9" ht="15" customHeight="1">
      <c r="A48" s="30"/>
      <c r="B48" s="32"/>
      <c r="C48" s="32"/>
      <c r="D48" s="32"/>
      <c r="E48" s="32"/>
      <c r="F48" s="32"/>
      <c r="G48" s="32"/>
      <c r="H48" s="32"/>
      <c r="I48" s="32"/>
    </row>
    <row r="49" spans="1:9" ht="15" customHeight="1">
      <c r="A49" s="30"/>
      <c r="B49" s="32"/>
      <c r="C49" s="32"/>
      <c r="D49" s="32"/>
      <c r="E49" s="32"/>
      <c r="F49" s="32"/>
      <c r="G49" s="32"/>
      <c r="H49" s="32"/>
      <c r="I49" s="32"/>
    </row>
    <row r="50" spans="1:9" ht="15" customHeight="1">
      <c r="A50" s="30"/>
      <c r="B50" s="32"/>
      <c r="C50" s="32"/>
      <c r="D50" s="32"/>
      <c r="E50" s="32"/>
      <c r="F50" s="32"/>
      <c r="G50" s="32"/>
      <c r="H50" s="32"/>
      <c r="I50" s="32"/>
    </row>
    <row r="51" spans="1:9" ht="15" customHeight="1">
      <c r="A51" s="30"/>
      <c r="B51" s="32"/>
      <c r="C51" s="32"/>
      <c r="D51" s="32"/>
      <c r="E51" s="32"/>
      <c r="F51" s="32"/>
      <c r="G51" s="32"/>
      <c r="H51" s="32"/>
      <c r="I51" s="32"/>
    </row>
    <row r="52" spans="1:9" ht="15" customHeight="1">
      <c r="A52" s="30"/>
      <c r="B52" s="32"/>
      <c r="C52" s="32"/>
      <c r="D52" s="32"/>
      <c r="E52" s="32"/>
      <c r="F52" s="32"/>
      <c r="G52" s="32"/>
      <c r="H52" s="32"/>
      <c r="I52" s="32"/>
    </row>
    <row r="53" spans="1:9" ht="15" customHeight="1">
      <c r="A53" s="30"/>
      <c r="B53" s="32"/>
      <c r="C53" s="32"/>
      <c r="D53" s="32"/>
      <c r="E53" s="32"/>
      <c r="F53" s="32"/>
      <c r="G53" s="32"/>
      <c r="H53" s="32"/>
      <c r="I53" s="32"/>
    </row>
    <row r="54" spans="1:9" ht="15" customHeight="1">
      <c r="A54" s="30"/>
      <c r="B54" s="32"/>
      <c r="C54" s="32"/>
      <c r="D54" s="32"/>
      <c r="E54" s="32"/>
      <c r="F54" s="32"/>
      <c r="G54" s="32"/>
      <c r="H54" s="32"/>
      <c r="I54" s="32"/>
    </row>
    <row r="55" spans="1:9" ht="15" customHeight="1">
      <c r="A55" s="30"/>
      <c r="B55" s="32"/>
      <c r="C55" s="32"/>
      <c r="D55" s="32"/>
      <c r="E55" s="32"/>
      <c r="F55" s="32"/>
      <c r="G55" s="32"/>
      <c r="H55" s="32"/>
      <c r="I55" s="32"/>
    </row>
    <row r="56" spans="1:9" ht="15" customHeight="1">
      <c r="A56" s="30"/>
      <c r="B56" s="32"/>
      <c r="C56" s="32"/>
      <c r="D56" s="32"/>
      <c r="E56" s="32"/>
      <c r="F56" s="32"/>
      <c r="G56" s="32"/>
      <c r="H56" s="32"/>
      <c r="I56" s="32"/>
    </row>
    <row r="57" spans="1:9" ht="15" customHeight="1">
      <c r="A57" s="30"/>
      <c r="B57" s="32"/>
      <c r="C57" s="32"/>
      <c r="D57" s="32"/>
      <c r="E57" s="32"/>
      <c r="F57" s="32"/>
      <c r="G57" s="32"/>
      <c r="H57" s="32"/>
      <c r="I57" s="32"/>
    </row>
    <row r="58" spans="1:9" ht="15" customHeight="1">
      <c r="A58" s="30"/>
      <c r="B58" s="32"/>
      <c r="C58" s="32"/>
      <c r="D58" s="32"/>
      <c r="E58" s="32"/>
      <c r="F58" s="32"/>
      <c r="G58" s="32"/>
      <c r="H58" s="32"/>
      <c r="I58" s="32"/>
    </row>
    <row r="59" spans="1:9" ht="15" customHeight="1">
      <c r="A59" s="30"/>
      <c r="B59" s="32"/>
      <c r="C59" s="32"/>
      <c r="D59" s="32"/>
      <c r="E59" s="32"/>
      <c r="F59" s="32"/>
      <c r="G59" s="32"/>
      <c r="H59" s="32"/>
      <c r="I59" s="32"/>
    </row>
    <row r="60" spans="1:9" ht="15" customHeight="1">
      <c r="A60" s="30"/>
      <c r="B60" s="32"/>
      <c r="C60" s="32"/>
      <c r="D60" s="32"/>
      <c r="E60" s="32"/>
      <c r="F60" s="32"/>
      <c r="G60" s="32"/>
      <c r="H60" s="32"/>
      <c r="I60" s="32"/>
    </row>
    <row r="61" spans="1:9" ht="15" customHeight="1">
      <c r="A61" s="30"/>
      <c r="B61" s="32"/>
      <c r="C61" s="32"/>
      <c r="D61" s="32"/>
      <c r="E61" s="32"/>
      <c r="F61" s="32"/>
      <c r="G61" s="32"/>
      <c r="H61" s="32"/>
      <c r="I61" s="32"/>
    </row>
    <row r="62" spans="1:9" ht="15" customHeight="1">
      <c r="A62" s="30"/>
      <c r="B62" s="32"/>
      <c r="C62" s="32"/>
      <c r="D62" s="32"/>
      <c r="E62" s="32"/>
      <c r="F62" s="32"/>
      <c r="G62" s="32"/>
      <c r="H62" s="32"/>
      <c r="I62" s="32"/>
    </row>
    <row r="63" spans="1:9" ht="15" customHeight="1">
      <c r="A63" s="30"/>
      <c r="B63" s="32"/>
      <c r="C63" s="32"/>
      <c r="D63" s="32"/>
      <c r="E63" s="32"/>
      <c r="F63" s="32"/>
      <c r="G63" s="32"/>
      <c r="H63" s="32"/>
      <c r="I63" s="32"/>
    </row>
    <row r="64" spans="1:9" ht="15" customHeight="1">
      <c r="A64" s="30"/>
      <c r="B64" s="32"/>
      <c r="C64" s="32"/>
      <c r="D64" s="32"/>
      <c r="E64" s="32"/>
      <c r="F64" s="32"/>
      <c r="G64" s="32"/>
      <c r="H64" s="32"/>
      <c r="I64" s="32"/>
    </row>
    <row r="65" spans="1:9" ht="15" customHeight="1">
      <c r="A65" s="30"/>
      <c r="B65" s="32"/>
      <c r="C65" s="32"/>
      <c r="D65" s="32"/>
      <c r="E65" s="32"/>
      <c r="F65" s="32"/>
      <c r="G65" s="32"/>
      <c r="H65" s="32"/>
      <c r="I65" s="32"/>
    </row>
    <row r="66" spans="1:9" ht="15" customHeight="1">
      <c r="A66" s="30"/>
      <c r="B66" s="32"/>
      <c r="C66" s="32"/>
      <c r="D66" s="32"/>
      <c r="E66" s="32"/>
      <c r="F66" s="32"/>
      <c r="G66" s="32"/>
      <c r="H66" s="32"/>
      <c r="I66" s="32"/>
    </row>
    <row r="67" spans="1:9" ht="15" customHeight="1">
      <c r="A67" s="30"/>
      <c r="B67" s="32"/>
      <c r="C67" s="32"/>
      <c r="D67" s="32"/>
      <c r="E67" s="32"/>
      <c r="F67" s="32"/>
      <c r="G67" s="32"/>
      <c r="H67" s="32"/>
      <c r="I67" s="32"/>
    </row>
    <row r="68" spans="1:9" ht="15" customHeight="1">
      <c r="A68" s="30"/>
      <c r="B68" s="32"/>
      <c r="C68" s="32"/>
      <c r="D68" s="32"/>
      <c r="E68" s="32"/>
      <c r="F68" s="32"/>
      <c r="G68" s="32"/>
      <c r="H68" s="32"/>
      <c r="I68" s="32"/>
    </row>
    <row r="69" spans="1:9" ht="15" customHeight="1">
      <c r="A69" s="30"/>
      <c r="B69" s="32"/>
      <c r="C69" s="32"/>
      <c r="D69" s="32"/>
      <c r="E69" s="32"/>
      <c r="F69" s="32"/>
      <c r="G69" s="32"/>
      <c r="H69" s="32"/>
      <c r="I69" s="32"/>
    </row>
    <row r="70" spans="1:9" ht="15" customHeight="1">
      <c r="A70" s="30"/>
      <c r="B70" s="32"/>
      <c r="C70" s="32"/>
      <c r="D70" s="32"/>
      <c r="E70" s="32"/>
      <c r="F70" s="32"/>
      <c r="G70" s="32"/>
      <c r="H70" s="32"/>
      <c r="I70" s="32"/>
    </row>
    <row r="71" spans="1:9" ht="15" customHeight="1">
      <c r="A71" s="30"/>
      <c r="B71" s="32"/>
      <c r="C71" s="32"/>
      <c r="D71" s="32"/>
      <c r="E71" s="32"/>
      <c r="F71" s="32"/>
      <c r="G71" s="32"/>
      <c r="H71" s="32"/>
      <c r="I71" s="32"/>
    </row>
    <row r="72" spans="1:9" ht="15" customHeight="1">
      <c r="A72" s="30"/>
      <c r="B72" s="32"/>
      <c r="C72" s="32"/>
      <c r="D72" s="32"/>
      <c r="E72" s="32"/>
      <c r="F72" s="32"/>
      <c r="G72" s="32"/>
      <c r="H72" s="32"/>
      <c r="I72" s="32"/>
    </row>
    <row r="73" spans="1:9" ht="15" customHeight="1">
      <c r="A73" s="30"/>
      <c r="B73" s="32"/>
      <c r="C73" s="32"/>
      <c r="D73" s="32"/>
      <c r="E73" s="32"/>
      <c r="F73" s="32"/>
      <c r="G73" s="32"/>
      <c r="H73" s="32"/>
      <c r="I73" s="32"/>
    </row>
    <row r="74" spans="1:9" ht="15" customHeight="1">
      <c r="A74" s="30"/>
      <c r="B74" s="32"/>
      <c r="C74" s="32"/>
      <c r="D74" s="32"/>
      <c r="E74" s="32"/>
      <c r="F74" s="32"/>
      <c r="G74" s="32"/>
      <c r="H74" s="32"/>
      <c r="I74" s="32"/>
    </row>
    <row r="75" spans="1:9" ht="15" customHeight="1">
      <c r="A75" s="30"/>
      <c r="B75" s="32"/>
      <c r="C75" s="32"/>
      <c r="D75" s="32"/>
      <c r="E75" s="32"/>
      <c r="F75" s="32"/>
      <c r="G75" s="32"/>
      <c r="H75" s="32"/>
      <c r="I75" s="32"/>
    </row>
    <row r="76" spans="1:9" ht="15" customHeight="1">
      <c r="A76" s="30"/>
      <c r="B76" s="32"/>
      <c r="C76" s="32"/>
      <c r="D76" s="32"/>
      <c r="E76" s="32"/>
      <c r="F76" s="32"/>
      <c r="G76" s="32"/>
      <c r="H76" s="32"/>
      <c r="I76" s="32"/>
    </row>
    <row r="77" spans="1:9" ht="15" customHeight="1">
      <c r="A77" s="30"/>
      <c r="B77" s="32"/>
      <c r="C77" s="32"/>
      <c r="D77" s="32"/>
      <c r="E77" s="32"/>
      <c r="F77" s="32"/>
      <c r="G77" s="32"/>
      <c r="H77" s="32"/>
      <c r="I77" s="32"/>
    </row>
    <row r="78" spans="1:9" ht="15" customHeight="1">
      <c r="A78" s="30"/>
      <c r="B78" s="32"/>
      <c r="C78" s="32"/>
      <c r="D78" s="32"/>
      <c r="E78" s="32"/>
      <c r="F78" s="32"/>
      <c r="G78" s="32"/>
      <c r="H78" s="32"/>
      <c r="I78" s="32"/>
    </row>
    <row r="79" spans="1:9" ht="15" customHeight="1">
      <c r="A79" s="30"/>
      <c r="B79" s="32"/>
      <c r="C79" s="32"/>
      <c r="D79" s="32"/>
      <c r="E79" s="32"/>
      <c r="F79" s="32"/>
      <c r="G79" s="32"/>
      <c r="H79" s="32"/>
      <c r="I79" s="32"/>
    </row>
    <row r="80" spans="1:9" ht="15" customHeight="1">
      <c r="A80" s="30"/>
      <c r="B80" s="32"/>
      <c r="C80" s="32"/>
      <c r="D80" s="32"/>
      <c r="E80" s="32"/>
      <c r="F80" s="32"/>
      <c r="G80" s="32"/>
      <c r="H80" s="32"/>
      <c r="I80" s="32"/>
    </row>
    <row r="81" spans="1:9" ht="15" customHeight="1">
      <c r="A81" s="30"/>
      <c r="B81" s="32"/>
      <c r="C81" s="32"/>
      <c r="D81" s="32"/>
      <c r="E81" s="32"/>
      <c r="F81" s="32"/>
      <c r="G81" s="32"/>
      <c r="H81" s="32"/>
      <c r="I81" s="32"/>
    </row>
    <row r="82" spans="1:9" ht="15" customHeight="1">
      <c r="A82" s="30"/>
      <c r="B82" s="32"/>
      <c r="C82" s="32"/>
      <c r="D82" s="32"/>
      <c r="E82" s="32"/>
      <c r="F82" s="32"/>
      <c r="G82" s="32"/>
      <c r="H82" s="32"/>
      <c r="I82" s="32"/>
    </row>
    <row r="83" spans="1:9" ht="15" customHeight="1">
      <c r="A83" s="30"/>
      <c r="B83" s="32"/>
      <c r="C83" s="32"/>
      <c r="D83" s="32"/>
      <c r="E83" s="32"/>
      <c r="F83" s="32"/>
      <c r="G83" s="32"/>
      <c r="H83" s="32"/>
      <c r="I83" s="32"/>
    </row>
    <row r="84" spans="1:9" ht="15" customHeight="1">
      <c r="A84" s="30"/>
      <c r="B84" s="32"/>
      <c r="C84" s="32"/>
      <c r="D84" s="32"/>
      <c r="E84" s="32"/>
      <c r="F84" s="32"/>
      <c r="G84" s="32"/>
      <c r="H84" s="32"/>
      <c r="I84" s="32"/>
    </row>
    <row r="85" spans="1:9" ht="15" customHeight="1">
      <c r="A85" s="30"/>
      <c r="B85" s="32"/>
      <c r="C85" s="32"/>
      <c r="D85" s="32"/>
      <c r="E85" s="32"/>
      <c r="F85" s="32"/>
      <c r="G85" s="32"/>
      <c r="H85" s="32"/>
      <c r="I85" s="32"/>
    </row>
    <row r="86" spans="1:9" ht="15" customHeight="1">
      <c r="A86" s="30"/>
      <c r="B86" s="32"/>
      <c r="C86" s="32"/>
      <c r="D86" s="32"/>
      <c r="E86" s="32"/>
      <c r="F86" s="32"/>
      <c r="G86" s="32"/>
      <c r="H86" s="32"/>
      <c r="I86" s="32"/>
    </row>
    <row r="87" spans="1:9" ht="15" customHeight="1">
      <c r="A87" s="30"/>
      <c r="B87" s="32"/>
      <c r="C87" s="32"/>
      <c r="D87" s="32"/>
      <c r="E87" s="32"/>
      <c r="F87" s="32"/>
      <c r="G87" s="32"/>
      <c r="H87" s="32"/>
      <c r="I87" s="32"/>
    </row>
    <row r="88" spans="1:9" ht="15" customHeight="1">
      <c r="A88" s="30"/>
      <c r="B88" s="32"/>
      <c r="C88" s="32"/>
      <c r="D88" s="32"/>
      <c r="E88" s="32"/>
      <c r="F88" s="32"/>
      <c r="G88" s="32"/>
      <c r="H88" s="32"/>
      <c r="I88" s="32"/>
    </row>
    <row r="89" spans="1:9" ht="15" customHeight="1">
      <c r="A89" s="30"/>
      <c r="B89" s="32"/>
      <c r="C89" s="32"/>
      <c r="D89" s="32"/>
      <c r="E89" s="32"/>
      <c r="F89" s="32"/>
      <c r="G89" s="32"/>
      <c r="H89" s="32"/>
      <c r="I89" s="32"/>
    </row>
    <row r="90" spans="1:9" ht="15" customHeight="1">
      <c r="A90" s="30"/>
      <c r="B90" s="32"/>
      <c r="C90" s="32"/>
      <c r="D90" s="32"/>
      <c r="E90" s="32"/>
      <c r="F90" s="32"/>
      <c r="G90" s="32"/>
      <c r="H90" s="32"/>
      <c r="I90" s="32"/>
    </row>
    <row r="91" spans="1:9" ht="15" customHeight="1">
      <c r="A91" s="30"/>
      <c r="B91" s="32"/>
      <c r="C91" s="32"/>
      <c r="D91" s="32"/>
      <c r="E91" s="32"/>
      <c r="F91" s="32"/>
      <c r="G91" s="32"/>
      <c r="H91" s="32"/>
      <c r="I91" s="32"/>
    </row>
    <row r="92" spans="1:9" ht="15" customHeight="1">
      <c r="A92" s="30"/>
      <c r="B92" s="32"/>
      <c r="C92" s="32"/>
      <c r="D92" s="32"/>
      <c r="E92" s="32"/>
      <c r="F92" s="32"/>
      <c r="G92" s="32"/>
      <c r="H92" s="32"/>
      <c r="I92" s="32"/>
    </row>
    <row r="93" spans="1:9" ht="15" customHeight="1">
      <c r="A93" s="30"/>
      <c r="B93" s="32"/>
      <c r="C93" s="32"/>
      <c r="D93" s="32"/>
      <c r="E93" s="32"/>
      <c r="F93" s="32"/>
      <c r="G93" s="32"/>
      <c r="H93" s="32"/>
      <c r="I93" s="32"/>
    </row>
    <row r="94" spans="1:9" ht="15" customHeight="1">
      <c r="A94" s="30"/>
      <c r="B94" s="32"/>
      <c r="C94" s="32"/>
      <c r="D94" s="32"/>
      <c r="E94" s="32"/>
      <c r="F94" s="32"/>
      <c r="G94" s="32"/>
      <c r="H94" s="32"/>
      <c r="I94" s="32"/>
    </row>
    <row r="95" spans="1:9" ht="15" customHeight="1">
      <c r="A95" s="30"/>
      <c r="B95" s="32"/>
      <c r="C95" s="32"/>
      <c r="D95" s="32"/>
      <c r="E95" s="32"/>
      <c r="F95" s="32"/>
      <c r="G95" s="32"/>
      <c r="H95" s="32"/>
      <c r="I95" s="32"/>
    </row>
    <row r="96" spans="1:9" ht="15" customHeight="1">
      <c r="A96" s="30"/>
      <c r="B96" s="32"/>
      <c r="C96" s="32"/>
      <c r="D96" s="32"/>
      <c r="E96" s="32"/>
      <c r="F96" s="32"/>
      <c r="G96" s="32"/>
      <c r="H96" s="32"/>
      <c r="I96" s="32"/>
    </row>
    <row r="97" spans="1:9" ht="15" customHeight="1">
      <c r="A97" s="30"/>
      <c r="B97" s="32"/>
      <c r="C97" s="32"/>
      <c r="D97" s="32"/>
      <c r="E97" s="32"/>
      <c r="F97" s="32"/>
      <c r="G97" s="32"/>
      <c r="H97" s="32"/>
      <c r="I97" s="32"/>
    </row>
    <row r="98" spans="1:9" ht="15" customHeight="1">
      <c r="A98" s="30"/>
      <c r="B98" s="32"/>
      <c r="C98" s="32"/>
      <c r="D98" s="32"/>
      <c r="E98" s="32"/>
      <c r="F98" s="32"/>
      <c r="G98" s="32"/>
      <c r="H98" s="32"/>
      <c r="I98" s="32"/>
    </row>
    <row r="99" spans="1:9" ht="15" customHeight="1">
      <c r="A99" s="30"/>
      <c r="B99" s="32"/>
      <c r="C99" s="32"/>
      <c r="D99" s="32"/>
      <c r="E99" s="32"/>
      <c r="F99" s="32"/>
      <c r="G99" s="32"/>
      <c r="H99" s="32"/>
      <c r="I99" s="32"/>
    </row>
    <row r="100" spans="1:9" ht="15" customHeight="1">
      <c r="A100" s="30"/>
      <c r="B100" s="32"/>
      <c r="C100" s="32"/>
      <c r="D100" s="32"/>
      <c r="E100" s="32"/>
      <c r="F100" s="32"/>
      <c r="G100" s="32"/>
      <c r="H100" s="32"/>
      <c r="I100" s="32"/>
    </row>
    <row r="101" spans="1:9" ht="15" customHeight="1">
      <c r="A101" s="30"/>
      <c r="B101" s="32"/>
      <c r="C101" s="32"/>
      <c r="D101" s="32"/>
      <c r="E101" s="32"/>
      <c r="F101" s="32"/>
      <c r="G101" s="32"/>
      <c r="H101" s="32"/>
      <c r="I101" s="32"/>
    </row>
    <row r="102" spans="1:9" ht="15" customHeight="1">
      <c r="A102" s="30"/>
      <c r="B102" s="32"/>
      <c r="C102" s="32"/>
      <c r="D102" s="32"/>
      <c r="E102" s="32"/>
      <c r="F102" s="32"/>
      <c r="G102" s="32"/>
      <c r="H102" s="32"/>
      <c r="I102" s="32"/>
    </row>
    <row r="103" spans="1:9" ht="15" customHeight="1">
      <c r="A103" s="30"/>
      <c r="B103" s="32"/>
      <c r="C103" s="32"/>
      <c r="D103" s="32"/>
      <c r="E103" s="32"/>
      <c r="F103" s="32"/>
      <c r="G103" s="32"/>
      <c r="H103" s="32"/>
      <c r="I103" s="32"/>
    </row>
    <row r="104" spans="1:9" ht="15" customHeight="1">
      <c r="A104" s="30"/>
      <c r="B104" s="32"/>
      <c r="C104" s="32"/>
      <c r="D104" s="32"/>
      <c r="E104" s="32"/>
      <c r="F104" s="32"/>
      <c r="G104" s="32"/>
      <c r="H104" s="32"/>
      <c r="I104" s="32"/>
    </row>
    <row r="105" spans="1:9" ht="15" customHeight="1">
      <c r="A105" s="30"/>
      <c r="B105" s="32"/>
      <c r="C105" s="32"/>
      <c r="D105" s="32"/>
      <c r="E105" s="32"/>
      <c r="F105" s="32"/>
      <c r="G105" s="32"/>
      <c r="H105" s="32"/>
      <c r="I105" s="32"/>
    </row>
    <row r="106" spans="1:9" ht="15" customHeight="1">
      <c r="A106" s="30"/>
      <c r="B106" s="32"/>
      <c r="C106" s="32"/>
      <c r="D106" s="32"/>
      <c r="E106" s="32"/>
      <c r="F106" s="32"/>
      <c r="G106" s="32"/>
      <c r="H106" s="32"/>
      <c r="I106" s="32"/>
    </row>
    <row r="107" spans="1:9" ht="15" customHeight="1">
      <c r="A107" s="30"/>
      <c r="B107" s="32"/>
      <c r="C107" s="32"/>
      <c r="D107" s="32"/>
      <c r="E107" s="32"/>
      <c r="F107" s="32"/>
      <c r="G107" s="32"/>
      <c r="H107" s="32"/>
      <c r="I107" s="32"/>
    </row>
    <row r="108" spans="1:9" ht="15" customHeight="1">
      <c r="A108" s="30"/>
      <c r="B108" s="32"/>
      <c r="C108" s="32"/>
      <c r="D108" s="32"/>
      <c r="E108" s="32"/>
      <c r="F108" s="32"/>
      <c r="G108" s="32"/>
      <c r="H108" s="32"/>
      <c r="I108" s="32"/>
    </row>
    <row r="109" spans="1:9" ht="15" customHeight="1">
      <c r="A109" s="30"/>
      <c r="B109" s="32"/>
      <c r="C109" s="32"/>
      <c r="D109" s="32"/>
      <c r="E109" s="32"/>
      <c r="F109" s="32"/>
      <c r="G109" s="32"/>
      <c r="H109" s="32"/>
      <c r="I109" s="32"/>
    </row>
    <row r="110" spans="1:9" ht="15" customHeight="1">
      <c r="A110" s="30"/>
      <c r="B110" s="32"/>
      <c r="C110" s="32"/>
      <c r="D110" s="32"/>
      <c r="E110" s="32"/>
      <c r="F110" s="32"/>
      <c r="G110" s="32"/>
      <c r="H110" s="32"/>
      <c r="I110" s="32"/>
    </row>
    <row r="111" spans="1:9" ht="15" customHeight="1">
      <c r="A111" s="30"/>
      <c r="B111" s="32"/>
      <c r="C111" s="32"/>
      <c r="D111" s="32"/>
      <c r="E111" s="32"/>
      <c r="F111" s="32"/>
      <c r="G111" s="32"/>
      <c r="H111" s="32"/>
      <c r="I111" s="32"/>
    </row>
    <row r="112" spans="1:9" ht="15" customHeight="1">
      <c r="A112" s="30"/>
      <c r="B112" s="32"/>
      <c r="C112" s="32"/>
      <c r="D112" s="32"/>
      <c r="E112" s="32"/>
      <c r="F112" s="32"/>
      <c r="G112" s="32"/>
      <c r="H112" s="32"/>
      <c r="I112" s="32"/>
    </row>
    <row r="113" spans="1:9" ht="15" customHeight="1">
      <c r="A113" s="30"/>
      <c r="B113" s="32"/>
      <c r="C113" s="32"/>
      <c r="D113" s="32"/>
      <c r="E113" s="32"/>
      <c r="F113" s="32"/>
      <c r="G113" s="32"/>
      <c r="H113" s="32"/>
      <c r="I113" s="32"/>
    </row>
    <row r="114" spans="1:9" ht="15" customHeight="1">
      <c r="A114" s="30"/>
      <c r="B114" s="32"/>
      <c r="C114" s="32"/>
      <c r="D114" s="32"/>
      <c r="E114" s="32"/>
      <c r="F114" s="32"/>
      <c r="G114" s="32"/>
      <c r="H114" s="32"/>
      <c r="I114" s="32"/>
    </row>
    <row r="115" spans="1:9" ht="15" customHeight="1">
      <c r="A115" s="30"/>
      <c r="B115" s="32"/>
      <c r="C115" s="32"/>
      <c r="D115" s="32"/>
      <c r="E115" s="32"/>
      <c r="F115" s="32"/>
      <c r="G115" s="32"/>
      <c r="H115" s="32"/>
      <c r="I115" s="32"/>
    </row>
    <row r="116" spans="1:9" ht="15" customHeight="1">
      <c r="A116" s="30"/>
      <c r="B116" s="32"/>
      <c r="C116" s="32"/>
      <c r="D116" s="32"/>
      <c r="E116" s="32"/>
      <c r="F116" s="32"/>
      <c r="G116" s="32"/>
      <c r="H116" s="32"/>
      <c r="I116" s="32"/>
    </row>
    <row r="117" spans="1:9" ht="15" customHeight="1">
      <c r="A117" s="30"/>
      <c r="B117" s="32"/>
      <c r="C117" s="32"/>
      <c r="D117" s="32"/>
      <c r="E117" s="32"/>
      <c r="F117" s="32"/>
      <c r="G117" s="32"/>
      <c r="H117" s="32"/>
      <c r="I117" s="32"/>
    </row>
    <row r="118" spans="1:9" ht="15" customHeight="1">
      <c r="A118" s="30"/>
      <c r="B118" s="32"/>
      <c r="C118" s="32"/>
      <c r="D118" s="32"/>
      <c r="E118" s="32"/>
      <c r="F118" s="32"/>
      <c r="G118" s="32"/>
      <c r="H118" s="32"/>
      <c r="I118" s="32"/>
    </row>
    <row r="119" spans="1:9" ht="15" customHeight="1">
      <c r="A119" s="30"/>
      <c r="B119" s="32"/>
      <c r="C119" s="32"/>
      <c r="D119" s="32"/>
      <c r="E119" s="32"/>
      <c r="F119" s="32"/>
      <c r="G119" s="32"/>
      <c r="H119" s="32"/>
      <c r="I119" s="32"/>
    </row>
    <row r="120" spans="1:9" ht="15" customHeight="1">
      <c r="A120" s="30"/>
      <c r="B120" s="32"/>
      <c r="C120" s="32"/>
      <c r="D120" s="32"/>
      <c r="E120" s="32"/>
      <c r="F120" s="32"/>
      <c r="G120" s="32"/>
      <c r="H120" s="32"/>
      <c r="I120" s="32"/>
    </row>
    <row r="121" spans="1:9" ht="15" customHeight="1">
      <c r="A121" s="30"/>
      <c r="B121" s="32"/>
      <c r="C121" s="32"/>
      <c r="D121" s="32"/>
      <c r="E121" s="32"/>
      <c r="F121" s="32"/>
      <c r="G121" s="32"/>
      <c r="H121" s="32"/>
      <c r="I121" s="32"/>
    </row>
    <row r="122" spans="1:9" ht="15" customHeight="1">
      <c r="A122" s="30"/>
      <c r="B122" s="32"/>
      <c r="C122" s="32"/>
      <c r="D122" s="32"/>
      <c r="E122" s="32"/>
      <c r="F122" s="32"/>
      <c r="G122" s="32"/>
      <c r="H122" s="32"/>
      <c r="I122" s="32"/>
    </row>
    <row r="123" spans="1:9" ht="15" customHeight="1">
      <c r="A123" s="30"/>
      <c r="B123" s="32"/>
      <c r="C123" s="32"/>
      <c r="D123" s="32"/>
      <c r="E123" s="32"/>
      <c r="F123" s="32"/>
      <c r="G123" s="32"/>
      <c r="H123" s="32"/>
      <c r="I123" s="32"/>
    </row>
    <row r="124" spans="1:9" ht="15" customHeight="1">
      <c r="A124" s="30"/>
      <c r="B124" s="32"/>
      <c r="C124" s="32"/>
      <c r="D124" s="32"/>
      <c r="E124" s="32"/>
      <c r="F124" s="32"/>
      <c r="G124" s="32"/>
      <c r="H124" s="32"/>
      <c r="I124" s="32"/>
    </row>
    <row r="125" spans="1:9" ht="15" customHeight="1">
      <c r="A125" s="30"/>
      <c r="B125" s="32"/>
      <c r="C125" s="32"/>
      <c r="D125" s="32"/>
      <c r="E125" s="32"/>
      <c r="F125" s="32"/>
      <c r="G125" s="32"/>
      <c r="H125" s="32"/>
      <c r="I125" s="32"/>
    </row>
    <row r="126" spans="1:9" ht="15" customHeight="1">
      <c r="A126" s="30"/>
      <c r="B126" s="32"/>
      <c r="C126" s="32"/>
      <c r="D126" s="32"/>
      <c r="E126" s="32"/>
      <c r="F126" s="32"/>
      <c r="G126" s="32"/>
      <c r="H126" s="32"/>
      <c r="I126" s="32"/>
    </row>
    <row r="127" spans="1:9" ht="15" customHeight="1">
      <c r="A127" s="30"/>
      <c r="B127" s="32"/>
      <c r="C127" s="32"/>
      <c r="D127" s="32"/>
      <c r="E127" s="32"/>
      <c r="F127" s="32"/>
      <c r="G127" s="32"/>
      <c r="H127" s="32"/>
      <c r="I127" s="32"/>
    </row>
    <row r="128" spans="1:9" ht="15" customHeight="1">
      <c r="A128" s="30"/>
      <c r="B128" s="32"/>
      <c r="C128" s="32"/>
      <c r="D128" s="32"/>
      <c r="E128" s="32"/>
      <c r="F128" s="32"/>
      <c r="G128" s="32"/>
      <c r="H128" s="32"/>
      <c r="I128" s="32"/>
    </row>
    <row r="129" spans="1:9" ht="15" customHeight="1">
      <c r="A129" s="30"/>
      <c r="B129" s="32"/>
      <c r="C129" s="32"/>
      <c r="D129" s="32"/>
      <c r="E129" s="32"/>
      <c r="F129" s="32"/>
      <c r="G129" s="32"/>
      <c r="H129" s="32"/>
      <c r="I129" s="32"/>
    </row>
    <row r="130" spans="1:9" ht="15" customHeight="1">
      <c r="A130" s="30"/>
      <c r="B130" s="32"/>
      <c r="C130" s="32"/>
      <c r="D130" s="32"/>
      <c r="E130" s="32"/>
      <c r="F130" s="32"/>
      <c r="G130" s="32"/>
      <c r="H130" s="32"/>
      <c r="I130" s="32"/>
    </row>
    <row r="131" spans="1:9" ht="15" customHeight="1">
      <c r="A131" s="30"/>
      <c r="B131" s="32"/>
      <c r="C131" s="32"/>
      <c r="D131" s="32"/>
      <c r="E131" s="32"/>
      <c r="F131" s="32"/>
      <c r="G131" s="32"/>
      <c r="H131" s="32"/>
      <c r="I131" s="32"/>
    </row>
    <row r="132" spans="1:9" ht="15" customHeight="1">
      <c r="A132" s="30"/>
      <c r="B132" s="32"/>
      <c r="C132" s="32"/>
      <c r="D132" s="32"/>
      <c r="E132" s="32"/>
      <c r="F132" s="32"/>
      <c r="G132" s="32"/>
      <c r="H132" s="32"/>
      <c r="I132" s="32"/>
    </row>
    <row r="133" spans="1:9" ht="15" customHeight="1">
      <c r="A133" s="30"/>
      <c r="B133" s="32"/>
      <c r="C133" s="32"/>
      <c r="D133" s="32"/>
      <c r="E133" s="32"/>
      <c r="F133" s="32"/>
      <c r="G133" s="32"/>
      <c r="H133" s="32"/>
      <c r="I133" s="32"/>
    </row>
    <row r="134" spans="1:9" ht="15" customHeight="1">
      <c r="A134" s="30"/>
      <c r="B134" s="32"/>
      <c r="C134" s="32"/>
      <c r="D134" s="32"/>
      <c r="E134" s="32"/>
      <c r="F134" s="32"/>
      <c r="G134" s="32"/>
      <c r="H134" s="32"/>
      <c r="I134" s="32"/>
    </row>
    <row r="135" spans="1:9" ht="15" customHeight="1">
      <c r="A135" s="30"/>
      <c r="B135" s="32"/>
      <c r="C135" s="32"/>
      <c r="D135" s="32"/>
      <c r="E135" s="32"/>
      <c r="F135" s="32"/>
      <c r="G135" s="32"/>
      <c r="H135" s="32"/>
      <c r="I135" s="32"/>
    </row>
    <row r="136" spans="1:9" ht="15" customHeight="1">
      <c r="A136" s="30"/>
      <c r="B136" s="32"/>
      <c r="C136" s="32"/>
      <c r="D136" s="32"/>
      <c r="E136" s="32"/>
      <c r="F136" s="32"/>
      <c r="G136" s="32"/>
      <c r="H136" s="32"/>
      <c r="I136" s="32"/>
    </row>
    <row r="137" spans="1:9" ht="15" customHeight="1">
      <c r="A137" s="30"/>
      <c r="B137" s="32"/>
      <c r="C137" s="32"/>
      <c r="D137" s="32"/>
      <c r="E137" s="32"/>
      <c r="F137" s="32"/>
      <c r="G137" s="32"/>
      <c r="H137" s="32"/>
      <c r="I137" s="32"/>
    </row>
    <row r="138" spans="1:9" ht="15" customHeight="1">
      <c r="A138" s="30"/>
      <c r="B138" s="32"/>
      <c r="C138" s="32"/>
      <c r="D138" s="32"/>
      <c r="E138" s="32"/>
      <c r="F138" s="32"/>
      <c r="G138" s="32"/>
      <c r="H138" s="32"/>
      <c r="I138" s="32"/>
    </row>
    <row r="139" spans="1:9" ht="15" customHeight="1">
      <c r="A139" s="30"/>
      <c r="B139" s="32"/>
      <c r="C139" s="32"/>
      <c r="D139" s="32"/>
      <c r="E139" s="32"/>
      <c r="F139" s="32"/>
      <c r="G139" s="32"/>
      <c r="H139" s="32"/>
      <c r="I139" s="32"/>
    </row>
    <row r="140" spans="1:9" ht="15" customHeight="1">
      <c r="A140" s="30"/>
      <c r="B140" s="32"/>
      <c r="C140" s="32"/>
      <c r="D140" s="32"/>
      <c r="E140" s="32"/>
      <c r="F140" s="32"/>
      <c r="G140" s="32"/>
      <c r="H140" s="32"/>
      <c r="I140" s="32"/>
    </row>
    <row r="141" spans="1:9" ht="15" customHeight="1">
      <c r="A141" s="30"/>
      <c r="B141" s="32"/>
      <c r="C141" s="32"/>
      <c r="D141" s="32"/>
      <c r="E141" s="32"/>
      <c r="F141" s="32"/>
      <c r="G141" s="32"/>
      <c r="H141" s="32"/>
      <c r="I141" s="32"/>
    </row>
    <row r="142" spans="1:9" ht="15" customHeight="1">
      <c r="A142" s="30"/>
      <c r="B142" s="32"/>
      <c r="C142" s="32"/>
      <c r="D142" s="32"/>
      <c r="E142" s="32"/>
      <c r="F142" s="32"/>
      <c r="G142" s="32"/>
      <c r="H142" s="32"/>
      <c r="I142" s="32"/>
    </row>
    <row r="143" spans="1:9" ht="15" customHeight="1">
      <c r="A143" s="30"/>
      <c r="B143" s="32"/>
      <c r="C143" s="32"/>
      <c r="D143" s="32"/>
      <c r="E143" s="32"/>
      <c r="F143" s="32"/>
      <c r="G143" s="32"/>
      <c r="H143" s="32"/>
      <c r="I143" s="32"/>
    </row>
    <row r="144" spans="1:9" ht="15" customHeight="1">
      <c r="A144" s="30"/>
      <c r="B144" s="32"/>
      <c r="C144" s="32"/>
      <c r="D144" s="32"/>
      <c r="E144" s="32"/>
      <c r="F144" s="32"/>
      <c r="G144" s="32"/>
      <c r="H144" s="32"/>
      <c r="I144" s="32"/>
    </row>
    <row r="145" spans="1:9" ht="15" customHeight="1">
      <c r="A145" s="30"/>
      <c r="B145" s="32"/>
      <c r="C145" s="32"/>
      <c r="D145" s="32"/>
      <c r="E145" s="32"/>
      <c r="F145" s="32"/>
      <c r="G145" s="32"/>
      <c r="H145" s="32"/>
      <c r="I145" s="32"/>
    </row>
    <row r="146" spans="1:9" ht="15" customHeight="1">
      <c r="A146" s="30"/>
      <c r="B146" s="32"/>
      <c r="C146" s="32"/>
      <c r="D146" s="32"/>
      <c r="E146" s="32"/>
      <c r="F146" s="32"/>
      <c r="G146" s="32"/>
      <c r="H146" s="32"/>
      <c r="I146" s="32"/>
    </row>
    <row r="147" spans="1:9" ht="15" customHeight="1">
      <c r="A147" s="30"/>
      <c r="B147" s="32"/>
      <c r="C147" s="32"/>
      <c r="D147" s="32"/>
      <c r="E147" s="32"/>
      <c r="F147" s="32"/>
      <c r="G147" s="32"/>
      <c r="H147" s="32"/>
      <c r="I147" s="32"/>
    </row>
    <row r="148" spans="1:9" ht="15" customHeight="1">
      <c r="A148" s="30"/>
      <c r="B148" s="32"/>
      <c r="C148" s="32"/>
      <c r="D148" s="32"/>
      <c r="E148" s="32"/>
      <c r="F148" s="32"/>
      <c r="G148" s="32"/>
      <c r="H148" s="32"/>
      <c r="I148" s="32"/>
    </row>
    <row r="149" spans="1:9" ht="15" customHeight="1">
      <c r="A149" s="30"/>
      <c r="B149" s="32"/>
      <c r="C149" s="32"/>
      <c r="D149" s="32"/>
      <c r="E149" s="32"/>
      <c r="F149" s="32"/>
      <c r="G149" s="32"/>
      <c r="H149" s="32"/>
      <c r="I149" s="32"/>
    </row>
    <row r="150" spans="1:9" ht="15" customHeight="1">
      <c r="A150" s="30"/>
      <c r="B150" s="32"/>
      <c r="C150" s="32"/>
      <c r="D150" s="32"/>
      <c r="E150" s="32"/>
      <c r="F150" s="32"/>
      <c r="G150" s="32"/>
      <c r="H150" s="32"/>
      <c r="I150" s="32"/>
    </row>
    <row r="151" spans="1:9" ht="15" customHeight="1">
      <c r="A151" s="30"/>
      <c r="B151" s="32"/>
      <c r="C151" s="32"/>
      <c r="D151" s="32"/>
      <c r="E151" s="32"/>
      <c r="F151" s="32"/>
      <c r="G151" s="32"/>
      <c r="H151" s="32"/>
      <c r="I151" s="32"/>
    </row>
    <row r="152" spans="1:9" ht="15" customHeight="1">
      <c r="A152" s="30"/>
      <c r="B152" s="32"/>
      <c r="C152" s="32"/>
      <c r="D152" s="32"/>
      <c r="E152" s="32"/>
      <c r="F152" s="32"/>
      <c r="G152" s="32"/>
      <c r="H152" s="32"/>
      <c r="I152" s="32"/>
    </row>
    <row r="153" spans="1:9" ht="15" customHeight="1">
      <c r="A153" s="30"/>
      <c r="B153" s="32"/>
      <c r="C153" s="32"/>
      <c r="D153" s="32"/>
      <c r="E153" s="32"/>
      <c r="F153" s="32"/>
      <c r="G153" s="32"/>
      <c r="H153" s="32"/>
      <c r="I153" s="32"/>
    </row>
    <row r="154" spans="1:9" ht="15" customHeight="1">
      <c r="A154" s="30"/>
      <c r="B154" s="32"/>
      <c r="C154" s="32"/>
      <c r="D154" s="32"/>
      <c r="E154" s="32"/>
      <c r="F154" s="32"/>
      <c r="G154" s="32"/>
      <c r="H154" s="32"/>
      <c r="I154" s="32"/>
    </row>
    <row r="155" spans="1:9" ht="15" customHeight="1">
      <c r="A155" s="30"/>
      <c r="B155" s="32"/>
      <c r="C155" s="32"/>
      <c r="D155" s="32"/>
      <c r="E155" s="32"/>
      <c r="F155" s="32"/>
      <c r="G155" s="32"/>
      <c r="H155" s="32"/>
      <c r="I155" s="32"/>
    </row>
    <row r="156" spans="1:9" ht="15" customHeight="1">
      <c r="A156" s="30"/>
      <c r="B156" s="32"/>
      <c r="C156" s="32"/>
      <c r="D156" s="32"/>
      <c r="E156" s="32"/>
      <c r="F156" s="32"/>
      <c r="G156" s="32"/>
      <c r="H156" s="32"/>
      <c r="I156" s="32"/>
    </row>
    <row r="157" spans="1:9" ht="15" customHeight="1">
      <c r="A157" s="30"/>
      <c r="B157" s="32"/>
      <c r="C157" s="32"/>
      <c r="D157" s="32"/>
      <c r="E157" s="32"/>
      <c r="F157" s="32"/>
      <c r="G157" s="32"/>
      <c r="H157" s="32"/>
      <c r="I157" s="32"/>
    </row>
    <row r="158" spans="1:9" ht="15" customHeight="1">
      <c r="A158" s="30"/>
      <c r="B158" s="32"/>
      <c r="C158" s="32"/>
      <c r="D158" s="32"/>
      <c r="E158" s="32"/>
      <c r="F158" s="32"/>
      <c r="G158" s="32"/>
      <c r="H158" s="32"/>
      <c r="I158" s="32"/>
    </row>
    <row r="159" spans="1:9" ht="15" customHeight="1">
      <c r="A159" s="30"/>
      <c r="B159" s="32"/>
      <c r="C159" s="32"/>
      <c r="D159" s="32"/>
      <c r="E159" s="32"/>
      <c r="F159" s="32"/>
      <c r="G159" s="32"/>
      <c r="H159" s="32"/>
      <c r="I159" s="32"/>
    </row>
    <row r="160" spans="1:9" ht="15" customHeight="1">
      <c r="A160" s="30"/>
      <c r="B160" s="32"/>
      <c r="C160" s="32"/>
      <c r="D160" s="32"/>
      <c r="E160" s="32"/>
      <c r="F160" s="32"/>
      <c r="G160" s="32"/>
      <c r="H160" s="32"/>
      <c r="I160" s="32"/>
    </row>
    <row r="161" spans="1:9" ht="15" customHeight="1">
      <c r="A161" s="30"/>
      <c r="B161" s="32"/>
      <c r="C161" s="32"/>
      <c r="D161" s="32"/>
      <c r="E161" s="32"/>
      <c r="F161" s="32"/>
      <c r="G161" s="32"/>
      <c r="H161" s="32"/>
      <c r="I161" s="32"/>
    </row>
    <row r="162" spans="1:9" ht="15" customHeight="1">
      <c r="A162" s="30"/>
      <c r="B162" s="32"/>
      <c r="C162" s="32"/>
      <c r="D162" s="32"/>
      <c r="E162" s="32"/>
      <c r="F162" s="32"/>
      <c r="G162" s="32"/>
      <c r="H162" s="32"/>
      <c r="I162" s="32"/>
    </row>
    <row r="163" spans="1:9" ht="15" customHeight="1">
      <c r="A163" s="30"/>
      <c r="B163" s="32"/>
      <c r="C163" s="32"/>
      <c r="D163" s="32"/>
      <c r="E163" s="32"/>
      <c r="F163" s="32"/>
      <c r="G163" s="32"/>
      <c r="H163" s="32"/>
      <c r="I163" s="32"/>
    </row>
    <row r="164" spans="1:9" ht="15" customHeight="1">
      <c r="A164" s="30"/>
      <c r="B164" s="32"/>
      <c r="C164" s="32"/>
      <c r="D164" s="32"/>
      <c r="E164" s="32"/>
      <c r="F164" s="32"/>
      <c r="G164" s="32"/>
      <c r="H164" s="32"/>
      <c r="I164" s="32"/>
    </row>
    <row r="165" spans="1:9" ht="15" customHeight="1">
      <c r="A165" s="30"/>
      <c r="B165" s="32"/>
      <c r="C165" s="32"/>
      <c r="D165" s="32"/>
      <c r="E165" s="32"/>
      <c r="F165" s="32"/>
      <c r="G165" s="32"/>
      <c r="H165" s="32"/>
      <c r="I165" s="32"/>
    </row>
    <row r="166" spans="1:9" ht="15" customHeight="1">
      <c r="A166" s="30"/>
      <c r="B166" s="32"/>
      <c r="C166" s="32"/>
      <c r="D166" s="32"/>
      <c r="E166" s="32"/>
      <c r="F166" s="32"/>
      <c r="G166" s="32"/>
      <c r="H166" s="32"/>
      <c r="I166" s="32"/>
    </row>
    <row r="167" spans="1:9" ht="15" customHeight="1">
      <c r="A167" s="30"/>
      <c r="B167" s="32"/>
      <c r="C167" s="32"/>
      <c r="D167" s="32"/>
      <c r="E167" s="32"/>
      <c r="F167" s="32"/>
      <c r="G167" s="32"/>
      <c r="H167" s="32"/>
      <c r="I167" s="32"/>
    </row>
    <row r="168" spans="1:9" ht="15" customHeight="1">
      <c r="A168" s="30"/>
      <c r="B168" s="32"/>
      <c r="C168" s="32"/>
      <c r="D168" s="32"/>
      <c r="E168" s="32"/>
      <c r="F168" s="32"/>
      <c r="G168" s="32"/>
      <c r="H168" s="32"/>
      <c r="I168" s="32"/>
    </row>
    <row r="169" spans="1:9" ht="15" customHeight="1">
      <c r="A169" s="30"/>
      <c r="B169" s="32"/>
      <c r="C169" s="32"/>
      <c r="D169" s="32"/>
      <c r="E169" s="32"/>
      <c r="F169" s="32"/>
      <c r="G169" s="32"/>
      <c r="H169" s="32"/>
      <c r="I169" s="32"/>
    </row>
    <row r="170" spans="1:9" ht="15" customHeight="1">
      <c r="A170" s="30"/>
      <c r="B170" s="32"/>
      <c r="C170" s="32"/>
      <c r="D170" s="32"/>
      <c r="E170" s="32"/>
      <c r="F170" s="32"/>
      <c r="G170" s="32"/>
      <c r="H170" s="32"/>
      <c r="I170" s="32"/>
    </row>
    <row r="171" spans="1:9" ht="15" customHeight="1">
      <c r="A171" s="30"/>
      <c r="B171" s="32"/>
      <c r="C171" s="32"/>
      <c r="D171" s="32"/>
      <c r="E171" s="32"/>
      <c r="F171" s="32"/>
      <c r="G171" s="32"/>
      <c r="H171" s="32"/>
      <c r="I171" s="32"/>
    </row>
    <row r="172" spans="1:9" ht="15" customHeight="1">
      <c r="A172" s="30"/>
      <c r="B172" s="32"/>
      <c r="C172" s="32"/>
      <c r="D172" s="32"/>
      <c r="E172" s="32"/>
      <c r="F172" s="32"/>
      <c r="G172" s="32"/>
      <c r="H172" s="32"/>
      <c r="I172" s="32"/>
    </row>
    <row r="173" spans="1:9" ht="15" customHeight="1">
      <c r="A173" s="30"/>
      <c r="B173" s="32"/>
      <c r="C173" s="32"/>
      <c r="D173" s="32"/>
      <c r="E173" s="32"/>
      <c r="F173" s="32"/>
      <c r="G173" s="32"/>
      <c r="H173" s="32"/>
      <c r="I173" s="32"/>
    </row>
    <row r="174" spans="1:9" ht="15" customHeight="1">
      <c r="A174" s="30"/>
      <c r="B174" s="32"/>
      <c r="C174" s="32"/>
      <c r="D174" s="32"/>
      <c r="E174" s="32"/>
      <c r="F174" s="32"/>
      <c r="G174" s="32"/>
      <c r="H174" s="32"/>
      <c r="I174" s="32"/>
    </row>
    <row r="175" spans="1:9" ht="15" customHeight="1">
      <c r="A175" s="30"/>
      <c r="B175" s="32"/>
      <c r="C175" s="32"/>
      <c r="D175" s="32"/>
      <c r="E175" s="32"/>
      <c r="F175" s="32"/>
      <c r="G175" s="32"/>
      <c r="H175" s="32"/>
      <c r="I175" s="32"/>
    </row>
    <row r="176" spans="1:9" ht="15" customHeight="1">
      <c r="A176" s="30"/>
      <c r="B176" s="32"/>
      <c r="C176" s="32"/>
      <c r="D176" s="32"/>
      <c r="E176" s="32"/>
      <c r="F176" s="32"/>
      <c r="G176" s="32"/>
      <c r="H176" s="32"/>
      <c r="I176" s="32"/>
    </row>
    <row r="177" spans="1:9" ht="15" customHeight="1">
      <c r="A177" s="30"/>
      <c r="B177" s="32"/>
      <c r="C177" s="32"/>
      <c r="D177" s="32"/>
      <c r="E177" s="32"/>
      <c r="F177" s="32"/>
      <c r="G177" s="32"/>
      <c r="H177" s="32"/>
      <c r="I177" s="32"/>
    </row>
    <row r="178" spans="1:9" ht="15" customHeight="1">
      <c r="A178" s="30"/>
      <c r="B178" s="32"/>
      <c r="C178" s="32"/>
      <c r="D178" s="32"/>
      <c r="E178" s="32"/>
      <c r="F178" s="32"/>
      <c r="G178" s="32"/>
      <c r="H178" s="32"/>
      <c r="I178" s="32"/>
    </row>
    <row r="179" spans="1:9" ht="15" customHeight="1">
      <c r="A179" s="30"/>
      <c r="B179" s="32"/>
      <c r="C179" s="32"/>
      <c r="D179" s="32"/>
      <c r="E179" s="32"/>
      <c r="F179" s="32"/>
      <c r="G179" s="32"/>
      <c r="H179" s="32"/>
      <c r="I179" s="32"/>
    </row>
    <row r="180" spans="1:9" ht="15" customHeight="1">
      <c r="A180" s="30"/>
      <c r="B180" s="32"/>
      <c r="C180" s="32"/>
      <c r="D180" s="32"/>
      <c r="E180" s="32"/>
      <c r="F180" s="32"/>
      <c r="G180" s="32"/>
      <c r="H180" s="32"/>
      <c r="I180" s="32"/>
    </row>
    <row r="181" spans="1:9" ht="15" customHeight="1">
      <c r="A181" s="30"/>
      <c r="B181" s="32"/>
      <c r="C181" s="32"/>
      <c r="D181" s="32"/>
      <c r="E181" s="32"/>
      <c r="F181" s="32"/>
      <c r="G181" s="32"/>
      <c r="H181" s="32"/>
      <c r="I181" s="32"/>
    </row>
    <row r="182" spans="1:9" ht="15" customHeight="1">
      <c r="A182" s="30"/>
      <c r="B182" s="32"/>
      <c r="C182" s="32"/>
      <c r="D182" s="32"/>
      <c r="E182" s="32"/>
      <c r="F182" s="32"/>
      <c r="G182" s="32"/>
      <c r="H182" s="32"/>
      <c r="I182" s="32"/>
    </row>
    <row r="183" spans="1:9" ht="15" customHeight="1">
      <c r="A183" s="30"/>
      <c r="B183" s="32"/>
      <c r="C183" s="32"/>
      <c r="D183" s="32"/>
      <c r="E183" s="32"/>
      <c r="F183" s="32"/>
      <c r="G183" s="32"/>
      <c r="H183" s="32"/>
      <c r="I183" s="32"/>
    </row>
    <row r="184" spans="1:9" ht="15" customHeight="1">
      <c r="A184" s="30"/>
      <c r="B184" s="32"/>
      <c r="C184" s="32"/>
      <c r="D184" s="32"/>
      <c r="E184" s="32"/>
      <c r="F184" s="32"/>
      <c r="G184" s="32"/>
      <c r="H184" s="32"/>
      <c r="I184" s="32"/>
    </row>
    <row r="185" spans="1:9" ht="15" customHeight="1">
      <c r="A185" s="30"/>
      <c r="B185" s="32"/>
      <c r="C185" s="32"/>
      <c r="D185" s="32"/>
      <c r="E185" s="32"/>
      <c r="F185" s="32"/>
      <c r="G185" s="32"/>
      <c r="H185" s="32"/>
      <c r="I185" s="32"/>
    </row>
    <row r="186" spans="1:9" ht="15" customHeight="1">
      <c r="A186" s="30"/>
      <c r="B186" s="32"/>
      <c r="C186" s="32"/>
      <c r="D186" s="32"/>
      <c r="E186" s="32"/>
      <c r="F186" s="32"/>
      <c r="G186" s="32"/>
      <c r="H186" s="32"/>
      <c r="I186" s="32"/>
    </row>
    <row r="187" spans="1:9" ht="15" customHeight="1">
      <c r="A187" s="30"/>
      <c r="B187" s="32"/>
      <c r="C187" s="32"/>
      <c r="D187" s="32"/>
      <c r="E187" s="32"/>
      <c r="F187" s="32"/>
      <c r="G187" s="32"/>
      <c r="H187" s="32"/>
      <c r="I187" s="32"/>
    </row>
    <row r="188" spans="1:9" ht="15" customHeight="1">
      <c r="A188" s="30"/>
      <c r="B188" s="32"/>
      <c r="C188" s="32"/>
      <c r="D188" s="32"/>
      <c r="E188" s="32"/>
      <c r="F188" s="32"/>
      <c r="G188" s="32"/>
      <c r="H188" s="32"/>
      <c r="I188" s="32"/>
    </row>
    <row r="189" spans="1:9" ht="15" customHeight="1">
      <c r="A189" s="30"/>
      <c r="B189" s="32"/>
      <c r="C189" s="32"/>
      <c r="D189" s="32"/>
      <c r="E189" s="32"/>
      <c r="F189" s="32"/>
      <c r="G189" s="32"/>
      <c r="H189" s="32"/>
      <c r="I189" s="32"/>
    </row>
    <row r="190" spans="1:9" ht="15" customHeight="1">
      <c r="A190" s="30"/>
      <c r="B190" s="32"/>
      <c r="C190" s="32"/>
      <c r="D190" s="32"/>
      <c r="E190" s="32"/>
      <c r="F190" s="32"/>
      <c r="G190" s="32"/>
      <c r="H190" s="32"/>
      <c r="I190" s="32"/>
    </row>
    <row r="191" spans="1:9" ht="15" customHeight="1">
      <c r="A191" s="30"/>
      <c r="B191" s="32"/>
      <c r="C191" s="32"/>
      <c r="D191" s="32"/>
      <c r="E191" s="32"/>
      <c r="F191" s="32"/>
      <c r="G191" s="32"/>
      <c r="H191" s="32"/>
      <c r="I191" s="32"/>
    </row>
    <row r="192" spans="1:9" ht="15" customHeight="1">
      <c r="A192" s="30"/>
      <c r="B192" s="32"/>
      <c r="C192" s="32"/>
      <c r="D192" s="32"/>
      <c r="E192" s="32"/>
      <c r="F192" s="32"/>
      <c r="G192" s="32"/>
      <c r="H192" s="32"/>
      <c r="I192" s="32"/>
    </row>
    <row r="193" spans="1:9" ht="15" customHeight="1">
      <c r="A193" s="30"/>
      <c r="B193" s="32"/>
      <c r="C193" s="32"/>
      <c r="D193" s="32"/>
      <c r="E193" s="32"/>
      <c r="F193" s="32"/>
      <c r="G193" s="32"/>
      <c r="H193" s="32"/>
      <c r="I193" s="32"/>
    </row>
    <row r="194" spans="1:9" ht="15" customHeight="1">
      <c r="A194" s="30"/>
      <c r="B194" s="32"/>
      <c r="C194" s="32"/>
      <c r="D194" s="32"/>
      <c r="E194" s="32"/>
      <c r="F194" s="32"/>
      <c r="G194" s="32"/>
      <c r="H194" s="32"/>
      <c r="I194" s="32"/>
    </row>
    <row r="195" spans="1:9" ht="15" customHeight="1">
      <c r="A195" s="30"/>
      <c r="B195" s="32"/>
      <c r="C195" s="32"/>
      <c r="D195" s="32"/>
      <c r="E195" s="32"/>
      <c r="F195" s="32"/>
      <c r="G195" s="32"/>
      <c r="H195" s="32"/>
      <c r="I195" s="32"/>
    </row>
    <row r="196" spans="1:9" ht="15" customHeight="1">
      <c r="A196" s="30"/>
      <c r="B196" s="32"/>
      <c r="C196" s="32"/>
      <c r="D196" s="32"/>
      <c r="E196" s="32"/>
      <c r="F196" s="32"/>
      <c r="G196" s="32"/>
      <c r="H196" s="32"/>
      <c r="I196" s="32"/>
    </row>
    <row r="197" spans="1:9" ht="15" customHeight="1">
      <c r="A197" s="30"/>
      <c r="B197" s="32"/>
      <c r="C197" s="32"/>
      <c r="D197" s="32"/>
      <c r="E197" s="32"/>
      <c r="F197" s="32"/>
      <c r="G197" s="32"/>
      <c r="H197" s="32"/>
      <c r="I197" s="32"/>
    </row>
    <row r="198" spans="1:9" ht="15" customHeight="1">
      <c r="A198" s="30"/>
      <c r="B198" s="32"/>
      <c r="C198" s="32"/>
      <c r="D198" s="32"/>
      <c r="E198" s="32"/>
      <c r="F198" s="32"/>
      <c r="G198" s="32"/>
      <c r="H198" s="32"/>
      <c r="I198" s="32"/>
    </row>
    <row r="199" spans="1:9" ht="15" customHeight="1">
      <c r="A199" s="30"/>
      <c r="B199" s="32"/>
      <c r="C199" s="32"/>
      <c r="D199" s="32"/>
      <c r="E199" s="32"/>
      <c r="F199" s="32"/>
      <c r="G199" s="32"/>
      <c r="H199" s="32"/>
      <c r="I199" s="32"/>
    </row>
    <row r="200" spans="1:9" ht="15" customHeight="1">
      <c r="A200" s="30"/>
      <c r="B200" s="32"/>
      <c r="C200" s="32"/>
      <c r="D200" s="32"/>
      <c r="E200" s="32"/>
      <c r="F200" s="32"/>
      <c r="G200" s="32"/>
      <c r="H200" s="32"/>
      <c r="I200" s="32"/>
    </row>
    <row r="201" spans="1:9" ht="15" customHeight="1">
      <c r="A201" s="30"/>
      <c r="B201" s="32"/>
      <c r="C201" s="32"/>
      <c r="D201" s="32"/>
      <c r="E201" s="32"/>
      <c r="F201" s="32"/>
      <c r="G201" s="32"/>
      <c r="H201" s="32"/>
      <c r="I201" s="32"/>
    </row>
    <row r="202" spans="1:9" ht="15" customHeight="1">
      <c r="A202" s="30"/>
      <c r="B202" s="32"/>
      <c r="C202" s="32"/>
      <c r="D202" s="32"/>
      <c r="E202" s="32"/>
      <c r="F202" s="32"/>
      <c r="G202" s="32"/>
      <c r="H202" s="32"/>
      <c r="I202" s="32"/>
    </row>
    <row r="203" spans="1:9" ht="15" customHeight="1">
      <c r="A203" s="30"/>
      <c r="B203" s="32"/>
      <c r="C203" s="32"/>
      <c r="D203" s="32"/>
      <c r="E203" s="32"/>
      <c r="F203" s="32"/>
      <c r="G203" s="32"/>
      <c r="H203" s="32"/>
      <c r="I203" s="32"/>
    </row>
    <row r="204" spans="1:9" ht="15" customHeight="1">
      <c r="A204" s="30"/>
      <c r="B204" s="32"/>
      <c r="C204" s="32"/>
      <c r="D204" s="32"/>
      <c r="E204" s="32"/>
      <c r="F204" s="32"/>
      <c r="G204" s="32"/>
      <c r="H204" s="32"/>
      <c r="I204" s="32"/>
    </row>
    <row r="205" spans="1:9" ht="15" customHeight="1">
      <c r="A205" s="30"/>
      <c r="B205" s="32"/>
      <c r="C205" s="32"/>
      <c r="D205" s="32"/>
      <c r="E205" s="32"/>
      <c r="F205" s="32"/>
      <c r="G205" s="32"/>
      <c r="H205" s="32"/>
      <c r="I205" s="32"/>
    </row>
    <row r="206" spans="1:9" ht="15" customHeight="1">
      <c r="A206" s="30"/>
      <c r="B206" s="32"/>
      <c r="C206" s="32"/>
      <c r="D206" s="32"/>
      <c r="E206" s="32"/>
      <c r="F206" s="32"/>
      <c r="G206" s="32"/>
      <c r="H206" s="32"/>
      <c r="I206" s="32"/>
    </row>
    <row r="207" spans="1:9" ht="15" customHeight="1">
      <c r="A207" s="30"/>
      <c r="B207" s="32"/>
      <c r="C207" s="32"/>
      <c r="D207" s="32"/>
      <c r="E207" s="32"/>
      <c r="F207" s="32"/>
      <c r="G207" s="32"/>
      <c r="H207" s="32"/>
      <c r="I207" s="32"/>
    </row>
    <row r="208" spans="1:9" ht="15" customHeight="1">
      <c r="A208" s="30"/>
      <c r="B208" s="32"/>
      <c r="C208" s="32"/>
      <c r="D208" s="32"/>
      <c r="E208" s="32"/>
      <c r="F208" s="32"/>
      <c r="G208" s="32"/>
      <c r="H208" s="32"/>
      <c r="I208" s="32"/>
    </row>
    <row r="209" spans="1:9" ht="15" customHeight="1">
      <c r="A209" s="30"/>
      <c r="B209" s="32"/>
      <c r="C209" s="32"/>
      <c r="D209" s="32"/>
      <c r="E209" s="32"/>
      <c r="F209" s="32"/>
      <c r="G209" s="32"/>
      <c r="H209" s="32"/>
      <c r="I209" s="32"/>
    </row>
    <row r="210" spans="1:9" ht="15" customHeight="1">
      <c r="A210" s="30"/>
      <c r="B210" s="32"/>
      <c r="C210" s="32"/>
      <c r="D210" s="32"/>
      <c r="E210" s="32"/>
      <c r="F210" s="32"/>
      <c r="G210" s="32"/>
      <c r="H210" s="32"/>
      <c r="I210" s="32"/>
    </row>
    <row r="211" spans="1:9" ht="15" customHeight="1">
      <c r="A211" s="30"/>
      <c r="B211" s="32"/>
      <c r="C211" s="32"/>
      <c r="D211" s="32"/>
      <c r="E211" s="32"/>
      <c r="F211" s="32"/>
      <c r="G211" s="32"/>
      <c r="H211" s="32"/>
      <c r="I211" s="32"/>
    </row>
    <row r="212" spans="1:9" ht="15" customHeight="1">
      <c r="A212" s="30"/>
      <c r="B212" s="32"/>
      <c r="C212" s="32"/>
      <c r="D212" s="32"/>
      <c r="E212" s="32"/>
      <c r="F212" s="32"/>
      <c r="G212" s="32"/>
      <c r="H212" s="32"/>
      <c r="I212" s="32"/>
    </row>
    <row r="213" spans="1:9" ht="15" customHeight="1">
      <c r="A213" s="30"/>
      <c r="B213" s="32"/>
      <c r="C213" s="32"/>
      <c r="D213" s="32"/>
      <c r="E213" s="32"/>
      <c r="F213" s="32"/>
      <c r="G213" s="32"/>
      <c r="H213" s="32"/>
      <c r="I213" s="32"/>
    </row>
    <row r="214" spans="1:9" ht="15" customHeight="1">
      <c r="A214" s="30"/>
      <c r="B214" s="32"/>
      <c r="C214" s="32"/>
      <c r="D214" s="32"/>
      <c r="E214" s="32"/>
      <c r="F214" s="32"/>
      <c r="G214" s="32"/>
      <c r="H214" s="32"/>
      <c r="I214" s="32"/>
    </row>
    <row r="215" spans="1:9" ht="15" customHeight="1">
      <c r="A215" s="30"/>
      <c r="B215" s="32"/>
      <c r="C215" s="32"/>
      <c r="D215" s="32"/>
      <c r="E215" s="32"/>
      <c r="F215" s="32"/>
      <c r="G215" s="32"/>
      <c r="H215" s="32"/>
      <c r="I215" s="32"/>
    </row>
    <row r="216" spans="1:9" ht="15" customHeight="1">
      <c r="A216" s="30"/>
      <c r="B216" s="32"/>
      <c r="C216" s="32"/>
      <c r="D216" s="32"/>
      <c r="E216" s="32"/>
      <c r="F216" s="32"/>
      <c r="G216" s="32"/>
      <c r="H216" s="32"/>
      <c r="I216" s="32"/>
    </row>
    <row r="217" spans="1:9" ht="15" customHeight="1">
      <c r="A217" s="30"/>
      <c r="B217" s="32"/>
      <c r="C217" s="32"/>
      <c r="D217" s="32"/>
      <c r="E217" s="32"/>
      <c r="F217" s="32"/>
      <c r="G217" s="32"/>
      <c r="H217" s="32"/>
      <c r="I217" s="32"/>
    </row>
    <row r="218" spans="1:9" ht="15" customHeight="1">
      <c r="A218" s="30"/>
      <c r="B218" s="32"/>
      <c r="C218" s="32"/>
      <c r="D218" s="32"/>
      <c r="E218" s="32"/>
      <c r="F218" s="32"/>
      <c r="G218" s="32"/>
      <c r="H218" s="32"/>
      <c r="I218" s="32"/>
    </row>
    <row r="219" spans="1:9" ht="15" customHeight="1">
      <c r="A219" s="30"/>
      <c r="B219" s="32"/>
      <c r="C219" s="32"/>
      <c r="D219" s="32"/>
      <c r="E219" s="32"/>
      <c r="F219" s="32"/>
      <c r="G219" s="32"/>
      <c r="H219" s="32"/>
      <c r="I219" s="32"/>
    </row>
    <row r="220" spans="1:9" ht="15" customHeight="1">
      <c r="A220" s="30"/>
      <c r="B220" s="32"/>
      <c r="C220" s="32"/>
      <c r="D220" s="32"/>
      <c r="E220" s="32"/>
      <c r="F220" s="32"/>
      <c r="G220" s="32"/>
      <c r="H220" s="32"/>
      <c r="I220" s="32"/>
    </row>
    <row r="221" spans="1:9" ht="15" customHeight="1">
      <c r="A221" s="30"/>
      <c r="B221" s="32"/>
      <c r="C221" s="32"/>
      <c r="D221" s="32"/>
      <c r="E221" s="32"/>
      <c r="F221" s="32"/>
      <c r="G221" s="32"/>
      <c r="H221" s="32"/>
      <c r="I221" s="32"/>
    </row>
    <row r="222" spans="1:9" ht="15" customHeight="1">
      <c r="A222" s="30"/>
      <c r="B222" s="32"/>
      <c r="C222" s="32"/>
      <c r="D222" s="32"/>
      <c r="E222" s="32"/>
      <c r="F222" s="32"/>
      <c r="G222" s="32"/>
      <c r="H222" s="32"/>
      <c r="I222" s="32"/>
    </row>
    <row r="223" spans="1:9" ht="15" customHeight="1">
      <c r="A223" s="30"/>
      <c r="B223" s="32"/>
      <c r="C223" s="32"/>
      <c r="D223" s="32"/>
      <c r="E223" s="32"/>
      <c r="F223" s="32"/>
      <c r="G223" s="32"/>
      <c r="H223" s="32"/>
      <c r="I223" s="32"/>
    </row>
    <row r="224" spans="1:9" ht="15" customHeight="1">
      <c r="A224" s="30"/>
      <c r="B224" s="32"/>
      <c r="C224" s="32"/>
      <c r="D224" s="32"/>
      <c r="E224" s="32"/>
      <c r="F224" s="32"/>
      <c r="G224" s="32"/>
      <c r="H224" s="32"/>
      <c r="I224" s="32"/>
    </row>
    <row r="225" spans="1:9" ht="15" customHeight="1">
      <c r="A225" s="30"/>
      <c r="B225" s="32"/>
      <c r="C225" s="32"/>
      <c r="D225" s="32"/>
      <c r="E225" s="32"/>
      <c r="F225" s="32"/>
      <c r="G225" s="32"/>
      <c r="H225" s="32"/>
      <c r="I225" s="32"/>
    </row>
    <row r="226" spans="1:9" ht="15" customHeight="1">
      <c r="A226" s="30"/>
      <c r="B226" s="32"/>
      <c r="C226" s="32"/>
      <c r="D226" s="32"/>
      <c r="E226" s="32"/>
      <c r="F226" s="32"/>
      <c r="G226" s="32"/>
      <c r="H226" s="32"/>
      <c r="I226" s="32"/>
    </row>
    <row r="227" spans="1:9" ht="15" customHeight="1">
      <c r="A227" s="30"/>
      <c r="B227" s="32"/>
      <c r="C227" s="32"/>
      <c r="D227" s="32"/>
      <c r="E227" s="32"/>
      <c r="F227" s="32"/>
      <c r="G227" s="32"/>
      <c r="H227" s="32"/>
      <c r="I227" s="32"/>
    </row>
    <row r="228" spans="1:9" ht="15" customHeight="1">
      <c r="A228" s="30"/>
      <c r="B228" s="32"/>
      <c r="C228" s="32"/>
      <c r="D228" s="32"/>
      <c r="E228" s="32"/>
      <c r="F228" s="32"/>
      <c r="G228" s="32"/>
      <c r="H228" s="32"/>
      <c r="I228" s="32"/>
    </row>
    <row r="229" spans="1:9" ht="15" customHeight="1">
      <c r="A229" s="30"/>
      <c r="B229" s="32"/>
      <c r="C229" s="32"/>
      <c r="D229" s="32"/>
      <c r="E229" s="32"/>
      <c r="F229" s="32"/>
      <c r="G229" s="32"/>
      <c r="H229" s="32"/>
      <c r="I229" s="32"/>
    </row>
    <row r="230" spans="1:9" ht="15" customHeight="1">
      <c r="A230" s="30"/>
      <c r="B230" s="32"/>
      <c r="C230" s="32"/>
      <c r="D230" s="32"/>
      <c r="E230" s="32"/>
      <c r="F230" s="32"/>
      <c r="G230" s="32"/>
      <c r="H230" s="32"/>
      <c r="I230" s="32"/>
    </row>
    <row r="231" spans="1:9" ht="15" customHeight="1">
      <c r="A231" s="30"/>
      <c r="B231" s="32"/>
      <c r="C231" s="32"/>
      <c r="D231" s="32"/>
      <c r="E231" s="32"/>
      <c r="F231" s="32"/>
      <c r="G231" s="32"/>
      <c r="H231" s="32"/>
      <c r="I231" s="32"/>
    </row>
    <row r="232" spans="1:9" ht="15" customHeight="1">
      <c r="A232" s="30"/>
      <c r="B232" s="32"/>
      <c r="C232" s="32"/>
      <c r="D232" s="32"/>
      <c r="E232" s="32"/>
      <c r="F232" s="32"/>
      <c r="G232" s="32"/>
      <c r="H232" s="32"/>
      <c r="I232" s="32"/>
    </row>
    <row r="233" spans="1:9" ht="15" customHeight="1">
      <c r="A233" s="30"/>
      <c r="B233" s="32"/>
      <c r="C233" s="32"/>
      <c r="D233" s="32"/>
      <c r="E233" s="32"/>
      <c r="F233" s="32"/>
      <c r="G233" s="32"/>
      <c r="H233" s="32"/>
      <c r="I233" s="32"/>
    </row>
    <row r="234" spans="1:9" ht="15" customHeight="1">
      <c r="A234" s="30"/>
      <c r="B234" s="32"/>
      <c r="C234" s="32"/>
      <c r="D234" s="32"/>
      <c r="E234" s="32"/>
      <c r="F234" s="32"/>
      <c r="G234" s="32"/>
      <c r="H234" s="32"/>
      <c r="I234" s="32"/>
    </row>
    <row r="235" spans="1:9" ht="15" customHeight="1">
      <c r="A235" s="30"/>
      <c r="B235" s="32"/>
      <c r="C235" s="32"/>
      <c r="D235" s="32"/>
      <c r="E235" s="32"/>
      <c r="F235" s="32"/>
      <c r="G235" s="32"/>
      <c r="H235" s="32"/>
      <c r="I235" s="32"/>
    </row>
    <row r="236" spans="1:9" ht="15" customHeight="1">
      <c r="A236" s="30"/>
      <c r="B236" s="32"/>
      <c r="C236" s="32"/>
      <c r="D236" s="32"/>
      <c r="E236" s="32"/>
      <c r="F236" s="32"/>
      <c r="G236" s="32"/>
      <c r="H236" s="32"/>
      <c r="I236" s="32"/>
    </row>
    <row r="237" spans="1:9" ht="15" customHeight="1">
      <c r="A237" s="30"/>
      <c r="B237" s="32"/>
      <c r="C237" s="32"/>
      <c r="D237" s="32"/>
      <c r="E237" s="32"/>
      <c r="F237" s="32"/>
      <c r="G237" s="32"/>
      <c r="H237" s="32"/>
      <c r="I237" s="32"/>
    </row>
    <row r="238" spans="1:9" ht="15" customHeight="1">
      <c r="A238" s="30"/>
      <c r="B238" s="32"/>
      <c r="C238" s="32"/>
      <c r="D238" s="32"/>
      <c r="E238" s="32"/>
      <c r="F238" s="32"/>
      <c r="G238" s="32"/>
      <c r="H238" s="32"/>
      <c r="I238" s="32"/>
    </row>
    <row r="239" spans="1:9" ht="15" customHeight="1">
      <c r="A239" s="30"/>
      <c r="B239" s="32"/>
      <c r="C239" s="32"/>
      <c r="D239" s="32"/>
      <c r="E239" s="32"/>
      <c r="F239" s="32"/>
      <c r="G239" s="32"/>
      <c r="H239" s="32"/>
      <c r="I239" s="32"/>
    </row>
    <row r="240" spans="1:9" ht="15" customHeight="1">
      <c r="A240" s="30"/>
      <c r="B240" s="32"/>
      <c r="C240" s="32"/>
      <c r="D240" s="32"/>
      <c r="E240" s="32"/>
      <c r="F240" s="32"/>
      <c r="G240" s="32"/>
      <c r="H240" s="32"/>
      <c r="I240" s="32"/>
    </row>
    <row r="241" spans="1:9" ht="15" customHeight="1">
      <c r="A241" s="30"/>
      <c r="B241" s="32"/>
      <c r="C241" s="32"/>
      <c r="D241" s="32"/>
      <c r="E241" s="32"/>
      <c r="F241" s="32"/>
      <c r="G241" s="32"/>
      <c r="H241" s="32"/>
      <c r="I241" s="32"/>
    </row>
    <row r="242" spans="1:9" ht="15" customHeight="1">
      <c r="A242" s="30"/>
      <c r="B242" s="32"/>
      <c r="C242" s="32"/>
      <c r="D242" s="32"/>
      <c r="E242" s="32"/>
      <c r="F242" s="32"/>
      <c r="G242" s="32"/>
      <c r="H242" s="32"/>
      <c r="I242" s="32"/>
    </row>
    <row r="243" spans="1:9" ht="15" customHeight="1">
      <c r="A243" s="30"/>
      <c r="B243" s="32"/>
      <c r="C243" s="32"/>
      <c r="D243" s="32"/>
      <c r="E243" s="32"/>
      <c r="F243" s="32"/>
      <c r="G243" s="32"/>
      <c r="H243" s="32"/>
      <c r="I243" s="32"/>
    </row>
    <row r="244" spans="1:9" ht="15" customHeight="1">
      <c r="A244" s="30"/>
      <c r="B244" s="32"/>
      <c r="C244" s="32"/>
      <c r="D244" s="32"/>
      <c r="E244" s="32"/>
      <c r="F244" s="32"/>
      <c r="G244" s="32"/>
      <c r="H244" s="32"/>
      <c r="I244" s="32"/>
    </row>
    <row r="245" spans="1:9" ht="15" customHeight="1">
      <c r="A245" s="30"/>
      <c r="B245" s="32"/>
      <c r="C245" s="32"/>
      <c r="D245" s="32"/>
      <c r="E245" s="32"/>
      <c r="F245" s="32"/>
      <c r="G245" s="32"/>
      <c r="H245" s="32"/>
      <c r="I245" s="32"/>
    </row>
    <row r="246" spans="1:9" ht="15" customHeight="1">
      <c r="A246" s="30"/>
      <c r="B246" s="32"/>
      <c r="C246" s="32"/>
      <c r="D246" s="32"/>
      <c r="E246" s="32"/>
      <c r="F246" s="32"/>
      <c r="G246" s="32"/>
      <c r="H246" s="32"/>
      <c r="I246" s="32"/>
    </row>
    <row r="247" spans="1:9" ht="15" customHeight="1">
      <c r="A247" s="30"/>
      <c r="B247" s="32"/>
      <c r="C247" s="32"/>
      <c r="D247" s="32"/>
      <c r="E247" s="32"/>
      <c r="F247" s="32"/>
      <c r="G247" s="32"/>
      <c r="H247" s="32"/>
      <c r="I247" s="32"/>
    </row>
    <row r="248" spans="1:9" ht="15" customHeight="1">
      <c r="A248" s="30"/>
      <c r="B248" s="32"/>
      <c r="C248" s="32"/>
      <c r="D248" s="32"/>
      <c r="E248" s="32"/>
      <c r="F248" s="32"/>
      <c r="G248" s="32"/>
      <c r="H248" s="32"/>
      <c r="I248" s="32"/>
    </row>
    <row r="249" spans="1:9" ht="15" customHeight="1">
      <c r="A249" s="30"/>
      <c r="B249" s="32"/>
      <c r="C249" s="32"/>
      <c r="D249" s="32"/>
      <c r="E249" s="32"/>
      <c r="F249" s="32"/>
      <c r="G249" s="32"/>
      <c r="H249" s="32"/>
      <c r="I249" s="32"/>
    </row>
    <row r="250" spans="1:9" ht="15" customHeight="1">
      <c r="A250" s="30"/>
      <c r="B250" s="32"/>
      <c r="C250" s="32"/>
      <c r="D250" s="32"/>
      <c r="E250" s="32"/>
      <c r="F250" s="32"/>
      <c r="G250" s="32"/>
      <c r="H250" s="32"/>
      <c r="I250" s="32"/>
    </row>
    <row r="251" spans="1:9" ht="15" customHeight="1">
      <c r="A251" s="30"/>
      <c r="B251" s="32"/>
      <c r="C251" s="32"/>
      <c r="D251" s="32"/>
      <c r="E251" s="32"/>
      <c r="F251" s="32"/>
      <c r="G251" s="32"/>
      <c r="H251" s="32"/>
      <c r="I251" s="32"/>
    </row>
    <row r="252" spans="1:9" ht="15" customHeight="1">
      <c r="A252" s="30"/>
      <c r="B252" s="32"/>
      <c r="C252" s="32"/>
      <c r="D252" s="32"/>
      <c r="E252" s="32"/>
      <c r="F252" s="32"/>
      <c r="G252" s="32"/>
      <c r="H252" s="32"/>
      <c r="I252" s="32"/>
    </row>
    <row r="253" spans="1:9" ht="15" customHeight="1">
      <c r="A253" s="30"/>
      <c r="B253" s="32"/>
      <c r="C253" s="32"/>
      <c r="D253" s="32"/>
      <c r="E253" s="32"/>
      <c r="F253" s="32"/>
      <c r="G253" s="32"/>
      <c r="H253" s="32"/>
      <c r="I253" s="32"/>
    </row>
    <row r="254" spans="1:9" ht="15" customHeight="1">
      <c r="A254" s="30"/>
      <c r="B254" s="32"/>
      <c r="C254" s="32"/>
      <c r="D254" s="32"/>
      <c r="E254" s="32"/>
      <c r="F254" s="32"/>
      <c r="G254" s="32"/>
      <c r="H254" s="32"/>
      <c r="I254" s="32"/>
    </row>
    <row r="255" spans="1:9" ht="15" customHeight="1">
      <c r="A255" s="30"/>
      <c r="B255" s="32"/>
      <c r="C255" s="32"/>
      <c r="D255" s="32"/>
      <c r="E255" s="32"/>
      <c r="F255" s="32"/>
      <c r="G255" s="32"/>
      <c r="H255" s="32"/>
      <c r="I255" s="32"/>
    </row>
    <row r="256" spans="1:9" ht="15" customHeight="1">
      <c r="A256" s="30"/>
      <c r="B256" s="32"/>
      <c r="C256" s="32"/>
      <c r="D256" s="32"/>
      <c r="E256" s="32"/>
      <c r="F256" s="32"/>
      <c r="G256" s="32"/>
      <c r="H256" s="32"/>
      <c r="I256" s="32"/>
    </row>
    <row r="257" spans="1:9" ht="15" customHeight="1">
      <c r="A257" s="30"/>
      <c r="B257" s="32"/>
      <c r="C257" s="32"/>
      <c r="D257" s="32"/>
      <c r="E257" s="32"/>
      <c r="F257" s="32"/>
      <c r="G257" s="32"/>
      <c r="H257" s="32"/>
      <c r="I257" s="32"/>
    </row>
    <row r="258" spans="1:9" ht="15" customHeight="1">
      <c r="A258" s="30"/>
      <c r="B258" s="32"/>
      <c r="C258" s="32"/>
      <c r="D258" s="32"/>
      <c r="E258" s="32"/>
      <c r="F258" s="32"/>
      <c r="G258" s="32"/>
      <c r="H258" s="32"/>
      <c r="I258" s="32"/>
    </row>
    <row r="259" spans="1:9" ht="15" customHeight="1">
      <c r="A259" s="30"/>
      <c r="B259" s="32"/>
      <c r="C259" s="32"/>
      <c r="D259" s="32"/>
      <c r="E259" s="32"/>
      <c r="F259" s="32"/>
      <c r="G259" s="32"/>
      <c r="H259" s="32"/>
      <c r="I259" s="32"/>
    </row>
    <row r="260" spans="1:9" ht="15" customHeight="1">
      <c r="A260" s="30"/>
      <c r="B260" s="32"/>
      <c r="C260" s="32"/>
      <c r="D260" s="32"/>
      <c r="E260" s="32"/>
      <c r="F260" s="32"/>
      <c r="G260" s="32"/>
      <c r="H260" s="32"/>
      <c r="I260" s="32"/>
    </row>
    <row r="261" spans="1:9" ht="15" customHeight="1">
      <c r="A261" s="30"/>
      <c r="B261" s="32"/>
      <c r="C261" s="32"/>
      <c r="D261" s="32"/>
      <c r="E261" s="32"/>
      <c r="F261" s="32"/>
      <c r="G261" s="32"/>
      <c r="H261" s="32"/>
      <c r="I261" s="32"/>
    </row>
    <row r="262" spans="1:9" ht="15" customHeight="1">
      <c r="A262" s="30"/>
      <c r="B262" s="32"/>
      <c r="C262" s="32"/>
      <c r="D262" s="32"/>
      <c r="E262" s="32"/>
      <c r="F262" s="32"/>
      <c r="G262" s="32"/>
      <c r="H262" s="32"/>
      <c r="I262" s="32"/>
    </row>
    <row r="263" spans="1:9" ht="15" customHeight="1">
      <c r="A263" s="30"/>
      <c r="B263" s="32"/>
      <c r="C263" s="32"/>
      <c r="D263" s="32"/>
      <c r="E263" s="32"/>
      <c r="F263" s="32"/>
      <c r="G263" s="32"/>
      <c r="H263" s="32"/>
      <c r="I263" s="32"/>
    </row>
    <row r="264" spans="1:9" ht="15" customHeight="1">
      <c r="A264" s="30"/>
      <c r="B264" s="32"/>
      <c r="C264" s="32"/>
      <c r="D264" s="32"/>
      <c r="E264" s="32"/>
      <c r="F264" s="32"/>
      <c r="G264" s="32"/>
      <c r="H264" s="32"/>
      <c r="I264" s="32"/>
    </row>
    <row r="265" spans="1:9" ht="15" customHeight="1">
      <c r="A265" s="30"/>
      <c r="B265" s="32"/>
      <c r="C265" s="32"/>
      <c r="D265" s="32"/>
      <c r="E265" s="32"/>
      <c r="F265" s="32"/>
      <c r="G265" s="32"/>
      <c r="H265" s="32"/>
      <c r="I265" s="32"/>
    </row>
    <row r="266" spans="1:9" ht="15" customHeight="1">
      <c r="A266" s="30"/>
      <c r="B266" s="32"/>
      <c r="C266" s="32"/>
      <c r="D266" s="32"/>
      <c r="E266" s="32"/>
      <c r="F266" s="32"/>
      <c r="G266" s="32"/>
      <c r="H266" s="32"/>
      <c r="I266" s="32"/>
    </row>
    <row r="267" spans="1:9" ht="15" customHeight="1">
      <c r="A267" s="30"/>
      <c r="B267" s="32"/>
      <c r="C267" s="32"/>
      <c r="D267" s="32"/>
      <c r="E267" s="32"/>
      <c r="F267" s="32"/>
      <c r="G267" s="32"/>
      <c r="H267" s="32"/>
      <c r="I267" s="32"/>
    </row>
    <row r="268" spans="1:9" ht="15" customHeight="1">
      <c r="A268" s="30"/>
      <c r="B268" s="32"/>
      <c r="C268" s="32"/>
      <c r="D268" s="32"/>
      <c r="E268" s="32"/>
      <c r="F268" s="32"/>
      <c r="G268" s="32"/>
      <c r="H268" s="32"/>
      <c r="I268" s="32"/>
    </row>
    <row r="269" spans="1:9" ht="15" customHeight="1">
      <c r="A269" s="30"/>
      <c r="B269" s="32"/>
      <c r="C269" s="32"/>
      <c r="D269" s="32"/>
      <c r="E269" s="32"/>
      <c r="F269" s="32"/>
      <c r="G269" s="32"/>
      <c r="H269" s="32"/>
      <c r="I269" s="32"/>
    </row>
    <row r="270" spans="1:9" ht="15" customHeight="1">
      <c r="A270" s="30"/>
      <c r="B270" s="32"/>
      <c r="C270" s="32"/>
      <c r="D270" s="32"/>
      <c r="E270" s="32"/>
      <c r="F270" s="32"/>
      <c r="G270" s="32"/>
      <c r="H270" s="32"/>
      <c r="I270" s="32"/>
    </row>
    <row r="271" spans="1:9" ht="15" customHeight="1">
      <c r="A271" s="30"/>
      <c r="B271" s="32"/>
      <c r="C271" s="32"/>
      <c r="D271" s="32"/>
      <c r="E271" s="32"/>
      <c r="F271" s="32"/>
      <c r="G271" s="32"/>
      <c r="H271" s="32"/>
      <c r="I271" s="32"/>
    </row>
    <row r="272" spans="1:9" ht="15" customHeight="1">
      <c r="A272" s="30"/>
      <c r="B272" s="32"/>
      <c r="C272" s="32"/>
      <c r="D272" s="32"/>
      <c r="E272" s="32"/>
      <c r="F272" s="32"/>
      <c r="G272" s="32"/>
      <c r="H272" s="32"/>
      <c r="I272" s="32"/>
    </row>
    <row r="273" spans="1:9" ht="15" customHeight="1">
      <c r="A273" s="30"/>
      <c r="B273" s="32"/>
      <c r="C273" s="32"/>
      <c r="D273" s="32"/>
      <c r="E273" s="32"/>
      <c r="F273" s="32"/>
      <c r="G273" s="32"/>
      <c r="H273" s="32"/>
      <c r="I273" s="32"/>
    </row>
    <row r="274" spans="1:9" ht="15" customHeight="1">
      <c r="A274" s="30"/>
      <c r="B274" s="32"/>
      <c r="C274" s="32"/>
      <c r="D274" s="32"/>
      <c r="E274" s="32"/>
      <c r="F274" s="32"/>
      <c r="G274" s="32"/>
      <c r="H274" s="32"/>
      <c r="I274" s="32"/>
    </row>
    <row r="275" spans="1:9" ht="15" customHeight="1">
      <c r="A275" s="30"/>
      <c r="B275" s="32"/>
      <c r="C275" s="32"/>
      <c r="D275" s="32"/>
      <c r="E275" s="32"/>
      <c r="F275" s="32"/>
      <c r="G275" s="32"/>
      <c r="H275" s="32"/>
      <c r="I275" s="32"/>
    </row>
    <row r="276" spans="1:9" ht="15" customHeight="1">
      <c r="A276" s="30"/>
      <c r="B276" s="32"/>
      <c r="C276" s="32"/>
      <c r="D276" s="32"/>
      <c r="E276" s="32"/>
      <c r="F276" s="32"/>
      <c r="G276" s="32"/>
      <c r="H276" s="32"/>
      <c r="I276" s="32"/>
    </row>
    <row r="277" spans="1:9" ht="15" customHeight="1">
      <c r="A277" s="30"/>
      <c r="B277" s="32"/>
      <c r="C277" s="32"/>
      <c r="D277" s="32"/>
      <c r="E277" s="32"/>
      <c r="F277" s="32"/>
      <c r="G277" s="32"/>
      <c r="H277" s="32"/>
      <c r="I277" s="32"/>
    </row>
    <row r="278" spans="1:9" ht="15" customHeight="1">
      <c r="A278" s="30"/>
      <c r="B278" s="32"/>
      <c r="C278" s="32"/>
      <c r="D278" s="32"/>
      <c r="E278" s="32"/>
      <c r="F278" s="32"/>
      <c r="G278" s="32"/>
      <c r="H278" s="32"/>
      <c r="I278" s="32"/>
    </row>
    <row r="279" spans="1:9" ht="15" customHeight="1">
      <c r="A279" s="30"/>
      <c r="B279" s="32"/>
      <c r="C279" s="32"/>
      <c r="D279" s="32"/>
      <c r="E279" s="32"/>
      <c r="F279" s="32"/>
      <c r="G279" s="32"/>
      <c r="H279" s="32"/>
      <c r="I279" s="32"/>
    </row>
    <row r="280" spans="1:9" ht="15" customHeight="1">
      <c r="A280" s="30"/>
      <c r="B280" s="32"/>
      <c r="C280" s="32"/>
      <c r="D280" s="32"/>
      <c r="E280" s="32"/>
      <c r="F280" s="32"/>
      <c r="G280" s="32"/>
      <c r="H280" s="32"/>
      <c r="I280" s="32"/>
    </row>
    <row r="281" spans="1:9" ht="15" customHeight="1">
      <c r="A281" s="30"/>
      <c r="B281" s="32"/>
      <c r="C281" s="32"/>
      <c r="D281" s="32"/>
      <c r="E281" s="32"/>
      <c r="F281" s="32"/>
      <c r="G281" s="32"/>
      <c r="H281" s="32"/>
      <c r="I281" s="32"/>
    </row>
    <row r="282" spans="1:9" ht="15" customHeight="1">
      <c r="A282" s="30"/>
      <c r="B282" s="32"/>
      <c r="C282" s="32"/>
      <c r="D282" s="32"/>
      <c r="E282" s="32"/>
      <c r="F282" s="32"/>
      <c r="G282" s="32"/>
      <c r="H282" s="32"/>
      <c r="I282" s="32"/>
    </row>
    <row r="283" spans="1:9" ht="15" customHeight="1">
      <c r="A283" s="30"/>
      <c r="B283" s="32"/>
      <c r="C283" s="32"/>
      <c r="D283" s="32"/>
      <c r="E283" s="32"/>
      <c r="F283" s="32"/>
      <c r="G283" s="32"/>
      <c r="H283" s="32"/>
      <c r="I283" s="32"/>
    </row>
    <row r="284" spans="1:9" ht="15" customHeight="1">
      <c r="A284" s="30"/>
      <c r="B284" s="32"/>
      <c r="C284" s="32"/>
      <c r="D284" s="32"/>
      <c r="E284" s="32"/>
      <c r="F284" s="32"/>
      <c r="G284" s="32"/>
      <c r="H284" s="32"/>
      <c r="I284" s="32"/>
    </row>
    <row r="285" spans="1:9" ht="15" customHeight="1">
      <c r="A285" s="30"/>
      <c r="B285" s="32"/>
      <c r="C285" s="32"/>
      <c r="D285" s="32"/>
      <c r="E285" s="32"/>
      <c r="F285" s="32"/>
      <c r="G285" s="32"/>
      <c r="H285" s="32"/>
      <c r="I285" s="32"/>
    </row>
    <row r="286" spans="1:9" ht="15" customHeight="1">
      <c r="A286" s="30"/>
      <c r="B286" s="32"/>
      <c r="C286" s="32"/>
      <c r="D286" s="32"/>
      <c r="E286" s="32"/>
      <c r="F286" s="32"/>
      <c r="G286" s="32"/>
      <c r="H286" s="32"/>
      <c r="I286" s="32"/>
    </row>
    <row r="287" spans="1:9" ht="15" customHeight="1">
      <c r="A287" s="30"/>
      <c r="B287" s="32"/>
      <c r="C287" s="32"/>
      <c r="D287" s="32"/>
      <c r="E287" s="32"/>
      <c r="F287" s="32"/>
      <c r="G287" s="32"/>
      <c r="H287" s="32"/>
      <c r="I287" s="32"/>
    </row>
    <row r="288" spans="1:9" ht="15" customHeight="1">
      <c r="A288" s="30"/>
      <c r="B288" s="32"/>
      <c r="C288" s="32"/>
      <c r="D288" s="32"/>
      <c r="E288" s="32"/>
      <c r="F288" s="32"/>
      <c r="G288" s="32"/>
      <c r="H288" s="32"/>
      <c r="I288" s="32"/>
    </row>
    <row r="289" spans="1:9" ht="15" customHeight="1">
      <c r="A289" s="30"/>
      <c r="B289" s="32"/>
      <c r="C289" s="32"/>
      <c r="D289" s="32"/>
      <c r="E289" s="32"/>
      <c r="F289" s="32"/>
      <c r="G289" s="32"/>
      <c r="H289" s="32"/>
      <c r="I289" s="32"/>
    </row>
    <row r="290" spans="1:9" ht="15" customHeight="1">
      <c r="A290" s="30"/>
      <c r="B290" s="32"/>
      <c r="C290" s="32"/>
      <c r="D290" s="32"/>
      <c r="E290" s="32"/>
      <c r="F290" s="32"/>
      <c r="G290" s="32"/>
      <c r="H290" s="32"/>
      <c r="I290" s="32"/>
    </row>
    <row r="291" spans="1:9" ht="15" customHeight="1">
      <c r="A291" s="30"/>
      <c r="B291" s="32"/>
      <c r="C291" s="32"/>
      <c r="D291" s="32"/>
      <c r="E291" s="32"/>
      <c r="F291" s="32"/>
      <c r="G291" s="32"/>
      <c r="H291" s="32"/>
      <c r="I291" s="32"/>
    </row>
    <row r="292" spans="1:9" ht="15" customHeight="1">
      <c r="A292" s="30"/>
      <c r="B292" s="32"/>
      <c r="C292" s="32"/>
      <c r="D292" s="32"/>
      <c r="E292" s="32"/>
      <c r="F292" s="32"/>
      <c r="G292" s="32"/>
      <c r="H292" s="32"/>
      <c r="I292" s="32"/>
    </row>
    <row r="293" spans="1:9" ht="15" customHeight="1">
      <c r="A293" s="30"/>
      <c r="B293" s="32"/>
      <c r="C293" s="32"/>
      <c r="D293" s="32"/>
      <c r="E293" s="32"/>
      <c r="F293" s="32"/>
      <c r="G293" s="32"/>
      <c r="H293" s="32"/>
      <c r="I293" s="32"/>
    </row>
    <row r="294" spans="1:9" ht="15" customHeight="1">
      <c r="A294" s="30"/>
      <c r="B294" s="32"/>
      <c r="C294" s="32"/>
      <c r="D294" s="32"/>
      <c r="E294" s="32"/>
      <c r="F294" s="32"/>
      <c r="G294" s="32"/>
      <c r="H294" s="32"/>
      <c r="I294" s="32"/>
    </row>
    <row r="295" spans="1:9" ht="15" customHeight="1">
      <c r="A295" s="30"/>
      <c r="B295" s="32"/>
      <c r="C295" s="32"/>
      <c r="D295" s="32"/>
      <c r="E295" s="32"/>
      <c r="F295" s="32"/>
      <c r="G295" s="32"/>
      <c r="H295" s="32"/>
      <c r="I295" s="32"/>
    </row>
    <row r="296" spans="1:9" ht="15" customHeight="1">
      <c r="A296" s="30"/>
      <c r="B296" s="32"/>
      <c r="C296" s="32"/>
      <c r="D296" s="32"/>
      <c r="E296" s="32"/>
      <c r="F296" s="32"/>
      <c r="G296" s="32"/>
      <c r="H296" s="32"/>
      <c r="I296" s="32"/>
    </row>
    <row r="297" spans="1:9" ht="15" customHeight="1">
      <c r="A297" s="30"/>
      <c r="B297" s="32"/>
      <c r="C297" s="32"/>
      <c r="D297" s="32"/>
      <c r="E297" s="32"/>
      <c r="F297" s="32"/>
      <c r="G297" s="32"/>
      <c r="H297" s="32"/>
      <c r="I297" s="32"/>
    </row>
    <row r="298" spans="1:9" ht="15" customHeight="1">
      <c r="A298" s="30"/>
      <c r="B298" s="32"/>
      <c r="C298" s="32"/>
      <c r="D298" s="32"/>
      <c r="E298" s="32"/>
      <c r="F298" s="32"/>
      <c r="G298" s="32"/>
      <c r="H298" s="32"/>
      <c r="I298" s="32"/>
    </row>
    <row r="299" spans="1:9" ht="15" customHeight="1">
      <c r="A299" s="30"/>
      <c r="B299" s="32"/>
      <c r="C299" s="32"/>
      <c r="D299" s="32"/>
      <c r="E299" s="32"/>
      <c r="F299" s="32"/>
      <c r="G299" s="32"/>
      <c r="H299" s="32"/>
      <c r="I299" s="32"/>
    </row>
    <row r="300" spans="1:9" ht="15" customHeight="1">
      <c r="A300" s="30"/>
      <c r="B300" s="32"/>
      <c r="C300" s="32"/>
      <c r="D300" s="32"/>
      <c r="E300" s="32"/>
      <c r="F300" s="32"/>
      <c r="G300" s="32"/>
      <c r="H300" s="32"/>
      <c r="I300" s="32"/>
    </row>
  </sheetData>
  <autoFilter ref="A1:I300" xr:uid="{00000000-0009-0000-0000-000004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입력 오류" error="코드표에 등록된 값만 입력할 수 있습니다." xr:uid="{00000000-0002-0000-0400-000000000000}">
          <x14:formula1>
            <xm:f>코드표!$G$2:$G$7</xm:f>
          </x14:formula1>
          <x14:formula2>
            <xm:f>0</xm:f>
          </x14:formula2>
          <xm:sqref>C2:C300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12" customWidth="1"/>
    <col min="3" max="3" width="14" customWidth="1"/>
    <col min="4" max="4" width="10" customWidth="1"/>
    <col min="5" max="5" width="24" customWidth="1"/>
    <col min="6" max="6" width="14" customWidth="1"/>
    <col min="7" max="7" width="24" customWidth="1"/>
  </cols>
  <sheetData>
    <row r="1" spans="1:7" ht="30" customHeight="1">
      <c r="A1" s="28" t="s">
        <v>353</v>
      </c>
      <c r="B1" s="28" t="s">
        <v>354</v>
      </c>
      <c r="C1" s="28" t="s">
        <v>355</v>
      </c>
      <c r="D1" s="28" t="s">
        <v>356</v>
      </c>
      <c r="E1" s="28" t="s">
        <v>320</v>
      </c>
      <c r="F1" s="28" t="s">
        <v>319</v>
      </c>
      <c r="G1" s="28" t="s">
        <v>183</v>
      </c>
    </row>
    <row r="2" spans="1:7" ht="15" customHeight="1">
      <c r="A2" s="30" t="s">
        <v>189</v>
      </c>
      <c r="B2" s="31" t="s">
        <v>357</v>
      </c>
      <c r="C2" s="31" t="s">
        <v>358</v>
      </c>
      <c r="D2" s="32" t="s">
        <v>33</v>
      </c>
      <c r="E2" s="32" t="s">
        <v>359</v>
      </c>
      <c r="F2" s="32" t="s">
        <v>360</v>
      </c>
      <c r="G2" s="31" t="s">
        <v>190</v>
      </c>
    </row>
    <row r="3" spans="1:7" ht="15" customHeight="1">
      <c r="A3" s="30" t="s">
        <v>361</v>
      </c>
      <c r="B3" s="31" t="s">
        <v>362</v>
      </c>
      <c r="C3" s="31" t="s">
        <v>363</v>
      </c>
      <c r="D3" s="31" t="s">
        <v>364</v>
      </c>
      <c r="E3" s="32" t="s">
        <v>365</v>
      </c>
      <c r="F3" s="32" t="s">
        <v>366</v>
      </c>
      <c r="G3" s="31" t="s">
        <v>190</v>
      </c>
    </row>
    <row r="4" spans="1:7" ht="15" customHeight="1">
      <c r="A4" s="30" t="s">
        <v>367</v>
      </c>
      <c r="B4" s="31" t="s">
        <v>368</v>
      </c>
      <c r="C4" s="32" t="s">
        <v>369</v>
      </c>
      <c r="D4" s="31" t="s">
        <v>370</v>
      </c>
      <c r="E4" s="32" t="s">
        <v>371</v>
      </c>
      <c r="F4" s="32" t="s">
        <v>372</v>
      </c>
      <c r="G4" s="31" t="s">
        <v>190</v>
      </c>
    </row>
    <row r="5" spans="1:7" ht="15" customHeight="1">
      <c r="A5" s="30" t="s">
        <v>373</v>
      </c>
      <c r="B5" s="31" t="s">
        <v>374</v>
      </c>
      <c r="C5" s="32" t="s">
        <v>375</v>
      </c>
      <c r="D5" s="31" t="s">
        <v>376</v>
      </c>
      <c r="E5" s="32" t="s">
        <v>377</v>
      </c>
      <c r="F5" s="32" t="s">
        <v>378</v>
      </c>
      <c r="G5" s="31" t="s">
        <v>190</v>
      </c>
    </row>
    <row r="6" spans="1:7" ht="15" customHeight="1">
      <c r="A6" s="30" t="s">
        <v>379</v>
      </c>
      <c r="B6" s="31" t="s">
        <v>380</v>
      </c>
      <c r="C6" s="31" t="s">
        <v>381</v>
      </c>
      <c r="D6" s="31" t="s">
        <v>382</v>
      </c>
      <c r="E6" s="32" t="s">
        <v>383</v>
      </c>
      <c r="F6" s="32" t="s">
        <v>384</v>
      </c>
      <c r="G6" s="31" t="s">
        <v>190</v>
      </c>
    </row>
    <row r="7" spans="1:7" ht="15" customHeight="1">
      <c r="A7" s="30"/>
      <c r="B7" s="32"/>
      <c r="C7" s="32"/>
      <c r="D7" s="32"/>
      <c r="E7" s="32"/>
      <c r="F7" s="32"/>
      <c r="G7" s="32"/>
    </row>
    <row r="8" spans="1:7" ht="15" customHeight="1">
      <c r="A8" s="30"/>
      <c r="B8" s="32"/>
      <c r="C8" s="32"/>
      <c r="D8" s="32"/>
      <c r="E8" s="32"/>
      <c r="F8" s="32"/>
      <c r="G8" s="32"/>
    </row>
    <row r="9" spans="1:7" ht="15" customHeight="1">
      <c r="A9" s="30"/>
      <c r="B9" s="32"/>
      <c r="C9" s="32"/>
      <c r="D9" s="32"/>
      <c r="E9" s="32"/>
      <c r="F9" s="32"/>
      <c r="G9" s="32"/>
    </row>
    <row r="10" spans="1:7" ht="15" customHeight="1">
      <c r="A10" s="30"/>
      <c r="B10" s="32"/>
      <c r="C10" s="32"/>
      <c r="D10" s="32"/>
      <c r="E10" s="32"/>
      <c r="F10" s="32"/>
      <c r="G10" s="32"/>
    </row>
    <row r="11" spans="1:7" ht="15" customHeight="1">
      <c r="A11" s="30"/>
      <c r="B11" s="32"/>
      <c r="C11" s="32"/>
      <c r="D11" s="32"/>
      <c r="E11" s="32"/>
      <c r="F11" s="32"/>
      <c r="G11" s="32"/>
    </row>
    <row r="12" spans="1:7" ht="15" customHeight="1">
      <c r="A12" s="30"/>
      <c r="B12" s="32"/>
      <c r="C12" s="32"/>
      <c r="D12" s="32"/>
      <c r="E12" s="32"/>
      <c r="F12" s="32"/>
      <c r="G12" s="32"/>
    </row>
    <row r="13" spans="1:7" ht="15" customHeight="1">
      <c r="A13" s="30"/>
      <c r="B13" s="32"/>
      <c r="C13" s="32"/>
      <c r="D13" s="32"/>
      <c r="E13" s="32"/>
      <c r="F13" s="32"/>
      <c r="G13" s="32"/>
    </row>
    <row r="14" spans="1:7" ht="15" customHeight="1">
      <c r="A14" s="30"/>
      <c r="B14" s="32"/>
      <c r="C14" s="32"/>
      <c r="D14" s="32"/>
      <c r="E14" s="32"/>
      <c r="F14" s="32"/>
      <c r="G14" s="32"/>
    </row>
    <row r="15" spans="1:7" ht="15" customHeight="1">
      <c r="A15" s="30"/>
      <c r="B15" s="32"/>
      <c r="C15" s="32"/>
      <c r="D15" s="32"/>
      <c r="E15" s="32"/>
      <c r="F15" s="32"/>
      <c r="G15" s="32"/>
    </row>
    <row r="16" spans="1:7" ht="15" customHeight="1">
      <c r="A16" s="30"/>
      <c r="B16" s="32"/>
      <c r="C16" s="32"/>
      <c r="D16" s="32"/>
      <c r="E16" s="32"/>
      <c r="F16" s="32"/>
      <c r="G16" s="32"/>
    </row>
    <row r="17" spans="1:7" ht="15" customHeight="1">
      <c r="A17" s="30"/>
      <c r="B17" s="32"/>
      <c r="C17" s="32"/>
      <c r="D17" s="32"/>
      <c r="E17" s="32"/>
      <c r="F17" s="32"/>
      <c r="G17" s="32"/>
    </row>
    <row r="18" spans="1:7" ht="15" customHeight="1">
      <c r="A18" s="30"/>
      <c r="B18" s="32"/>
      <c r="C18" s="32"/>
      <c r="D18" s="32"/>
      <c r="E18" s="32"/>
      <c r="F18" s="32"/>
      <c r="G18" s="32"/>
    </row>
    <row r="19" spans="1:7" ht="15" customHeight="1">
      <c r="A19" s="30"/>
      <c r="B19" s="32"/>
      <c r="C19" s="32"/>
      <c r="D19" s="32"/>
      <c r="E19" s="32"/>
      <c r="F19" s="32"/>
      <c r="G19" s="32"/>
    </row>
    <row r="20" spans="1:7" ht="15" customHeight="1">
      <c r="A20" s="30"/>
      <c r="B20" s="32"/>
      <c r="C20" s="32"/>
      <c r="D20" s="32"/>
      <c r="E20" s="32"/>
      <c r="F20" s="32"/>
      <c r="G20" s="32"/>
    </row>
    <row r="21" spans="1:7" ht="15" customHeight="1">
      <c r="A21" s="30"/>
      <c r="B21" s="32"/>
      <c r="C21" s="32"/>
      <c r="D21" s="32"/>
      <c r="E21" s="32"/>
      <c r="F21" s="32"/>
      <c r="G21" s="32"/>
    </row>
    <row r="22" spans="1:7" ht="15" customHeight="1">
      <c r="A22" s="30"/>
      <c r="B22" s="32"/>
      <c r="C22" s="32"/>
      <c r="D22" s="32"/>
      <c r="E22" s="32"/>
      <c r="F22" s="32"/>
      <c r="G22" s="32"/>
    </row>
    <row r="23" spans="1:7" ht="15" customHeight="1">
      <c r="A23" s="30"/>
      <c r="B23" s="32"/>
      <c r="C23" s="32"/>
      <c r="D23" s="32"/>
      <c r="E23" s="32"/>
      <c r="F23" s="32"/>
      <c r="G23" s="32"/>
    </row>
    <row r="24" spans="1:7" ht="15" customHeight="1">
      <c r="A24" s="30"/>
      <c r="B24" s="32"/>
      <c r="C24" s="32"/>
      <c r="D24" s="32"/>
      <c r="E24" s="32"/>
      <c r="F24" s="32"/>
      <c r="G24" s="32"/>
    </row>
    <row r="25" spans="1:7" ht="15" customHeight="1">
      <c r="A25" s="30"/>
      <c r="B25" s="32"/>
      <c r="C25" s="32"/>
      <c r="D25" s="32"/>
      <c r="E25" s="32"/>
      <c r="F25" s="32"/>
      <c r="G25" s="32"/>
    </row>
    <row r="26" spans="1:7" ht="15" customHeight="1">
      <c r="A26" s="30"/>
      <c r="B26" s="32"/>
      <c r="C26" s="32"/>
      <c r="D26" s="32"/>
      <c r="E26" s="32"/>
      <c r="F26" s="32"/>
      <c r="G26" s="32"/>
    </row>
    <row r="27" spans="1:7" ht="15" customHeight="1">
      <c r="A27" s="30"/>
      <c r="B27" s="32"/>
      <c r="C27" s="32"/>
      <c r="D27" s="32"/>
      <c r="E27" s="32"/>
      <c r="F27" s="32"/>
      <c r="G27" s="32"/>
    </row>
    <row r="28" spans="1:7" ht="15" customHeight="1">
      <c r="A28" s="30"/>
      <c r="B28" s="32"/>
      <c r="C28" s="32"/>
      <c r="D28" s="32"/>
      <c r="E28" s="32"/>
      <c r="F28" s="32"/>
      <c r="G28" s="32"/>
    </row>
    <row r="29" spans="1:7" ht="15" customHeight="1">
      <c r="A29" s="30"/>
      <c r="B29" s="32"/>
      <c r="C29" s="32"/>
      <c r="D29" s="32"/>
      <c r="E29" s="32"/>
      <c r="F29" s="32"/>
      <c r="G29" s="32"/>
    </row>
    <row r="30" spans="1:7" ht="15" customHeight="1">
      <c r="A30" s="30"/>
      <c r="B30" s="32"/>
      <c r="C30" s="32"/>
      <c r="D30" s="32"/>
      <c r="E30" s="32"/>
      <c r="F30" s="32"/>
      <c r="G30" s="32"/>
    </row>
    <row r="31" spans="1:7" ht="15" customHeight="1">
      <c r="A31" s="30"/>
      <c r="B31" s="32"/>
      <c r="C31" s="32"/>
      <c r="D31" s="32"/>
      <c r="E31" s="32"/>
      <c r="F31" s="32"/>
      <c r="G31" s="32"/>
    </row>
    <row r="32" spans="1:7" ht="15" customHeight="1">
      <c r="A32" s="30"/>
      <c r="B32" s="32"/>
      <c r="C32" s="32"/>
      <c r="D32" s="32"/>
      <c r="E32" s="32"/>
      <c r="F32" s="32"/>
      <c r="G32" s="32"/>
    </row>
    <row r="33" spans="1:7" ht="15" customHeight="1">
      <c r="A33" s="30"/>
      <c r="B33" s="32"/>
      <c r="C33" s="32"/>
      <c r="D33" s="32"/>
      <c r="E33" s="32"/>
      <c r="F33" s="32"/>
      <c r="G33" s="32"/>
    </row>
    <row r="34" spans="1:7" ht="15" customHeight="1">
      <c r="A34" s="30"/>
      <c r="B34" s="32"/>
      <c r="C34" s="32"/>
      <c r="D34" s="32"/>
      <c r="E34" s="32"/>
      <c r="F34" s="32"/>
      <c r="G34" s="32"/>
    </row>
    <row r="35" spans="1:7" ht="15" customHeight="1">
      <c r="A35" s="30"/>
      <c r="B35" s="32"/>
      <c r="C35" s="32"/>
      <c r="D35" s="32"/>
      <c r="E35" s="32"/>
      <c r="F35" s="32"/>
      <c r="G35" s="32"/>
    </row>
    <row r="36" spans="1:7" ht="15" customHeight="1">
      <c r="A36" s="30"/>
      <c r="B36" s="32"/>
      <c r="C36" s="32"/>
      <c r="D36" s="32"/>
      <c r="E36" s="32"/>
      <c r="F36" s="32"/>
      <c r="G36" s="32"/>
    </row>
    <row r="37" spans="1:7" ht="15" customHeight="1">
      <c r="A37" s="30"/>
      <c r="B37" s="32"/>
      <c r="C37" s="32"/>
      <c r="D37" s="32"/>
      <c r="E37" s="32"/>
      <c r="F37" s="32"/>
      <c r="G37" s="32"/>
    </row>
    <row r="38" spans="1:7" ht="15" customHeight="1">
      <c r="A38" s="30"/>
      <c r="B38" s="32"/>
      <c r="C38" s="32"/>
      <c r="D38" s="32"/>
      <c r="E38" s="32"/>
      <c r="F38" s="32"/>
      <c r="G38" s="32"/>
    </row>
    <row r="39" spans="1:7" ht="15" customHeight="1">
      <c r="A39" s="30"/>
      <c r="B39" s="32"/>
      <c r="C39" s="32"/>
      <c r="D39" s="32"/>
      <c r="E39" s="32"/>
      <c r="F39" s="32"/>
      <c r="G39" s="32"/>
    </row>
    <row r="40" spans="1:7" ht="15" customHeight="1">
      <c r="A40" s="30"/>
      <c r="B40" s="32"/>
      <c r="C40" s="32"/>
      <c r="D40" s="32"/>
      <c r="E40" s="32"/>
      <c r="F40" s="32"/>
      <c r="G40" s="32"/>
    </row>
    <row r="41" spans="1:7" ht="15" customHeight="1">
      <c r="A41" s="30"/>
      <c r="B41" s="32"/>
      <c r="C41" s="32"/>
      <c r="D41" s="32"/>
      <c r="E41" s="32"/>
      <c r="F41" s="32"/>
      <c r="G41" s="32"/>
    </row>
    <row r="42" spans="1:7" ht="15" customHeight="1">
      <c r="A42" s="30"/>
      <c r="B42" s="32"/>
      <c r="C42" s="32"/>
      <c r="D42" s="32"/>
      <c r="E42" s="32"/>
      <c r="F42" s="32"/>
      <c r="G42" s="32"/>
    </row>
    <row r="43" spans="1:7" ht="15" customHeight="1">
      <c r="A43" s="30"/>
      <c r="B43" s="32"/>
      <c r="C43" s="32"/>
      <c r="D43" s="32"/>
      <c r="E43" s="32"/>
      <c r="F43" s="32"/>
      <c r="G43" s="32"/>
    </row>
    <row r="44" spans="1:7" ht="15" customHeight="1">
      <c r="A44" s="30"/>
      <c r="B44" s="32"/>
      <c r="C44" s="32"/>
      <c r="D44" s="32"/>
      <c r="E44" s="32"/>
      <c r="F44" s="32"/>
      <c r="G44" s="32"/>
    </row>
    <row r="45" spans="1:7" ht="15" customHeight="1">
      <c r="A45" s="30"/>
      <c r="B45" s="32"/>
      <c r="C45" s="32"/>
      <c r="D45" s="32"/>
      <c r="E45" s="32"/>
      <c r="F45" s="32"/>
      <c r="G45" s="32"/>
    </row>
    <row r="46" spans="1:7" ht="15" customHeight="1">
      <c r="A46" s="30"/>
      <c r="B46" s="32"/>
      <c r="C46" s="32"/>
      <c r="D46" s="32"/>
      <c r="E46" s="32"/>
      <c r="F46" s="32"/>
      <c r="G46" s="32"/>
    </row>
    <row r="47" spans="1:7" ht="15" customHeight="1">
      <c r="A47" s="30"/>
      <c r="B47" s="32"/>
      <c r="C47" s="32"/>
      <c r="D47" s="32"/>
      <c r="E47" s="32"/>
      <c r="F47" s="32"/>
      <c r="G47" s="32"/>
    </row>
    <row r="48" spans="1:7" ht="15" customHeight="1">
      <c r="A48" s="30"/>
      <c r="B48" s="32"/>
      <c r="C48" s="32"/>
      <c r="D48" s="32"/>
      <c r="E48" s="32"/>
      <c r="F48" s="32"/>
      <c r="G48" s="32"/>
    </row>
    <row r="49" spans="1:7" ht="15" customHeight="1">
      <c r="A49" s="30"/>
      <c r="B49" s="32"/>
      <c r="C49" s="32"/>
      <c r="D49" s="32"/>
      <c r="E49" s="32"/>
      <c r="F49" s="32"/>
      <c r="G49" s="32"/>
    </row>
    <row r="50" spans="1:7" ht="15" customHeight="1">
      <c r="A50" s="30"/>
      <c r="B50" s="32"/>
      <c r="C50" s="32"/>
      <c r="D50" s="32"/>
      <c r="E50" s="32"/>
      <c r="F50" s="32"/>
      <c r="G50" s="32"/>
    </row>
    <row r="51" spans="1:7" ht="15" customHeight="1">
      <c r="A51" s="30"/>
      <c r="B51" s="32"/>
      <c r="C51" s="32"/>
      <c r="D51" s="32"/>
      <c r="E51" s="32"/>
      <c r="F51" s="32"/>
      <c r="G51" s="32"/>
    </row>
    <row r="52" spans="1:7" ht="15" customHeight="1">
      <c r="A52" s="30"/>
      <c r="B52" s="32"/>
      <c r="C52" s="32"/>
      <c r="D52" s="32"/>
      <c r="E52" s="32"/>
      <c r="F52" s="32"/>
      <c r="G52" s="32"/>
    </row>
    <row r="53" spans="1:7" ht="15" customHeight="1">
      <c r="A53" s="30"/>
      <c r="B53" s="32"/>
      <c r="C53" s="32"/>
      <c r="D53" s="32"/>
      <c r="E53" s="32"/>
      <c r="F53" s="32"/>
      <c r="G53" s="32"/>
    </row>
    <row r="54" spans="1:7" ht="15" customHeight="1">
      <c r="A54" s="30"/>
      <c r="B54" s="32"/>
      <c r="C54" s="32"/>
      <c r="D54" s="32"/>
      <c r="E54" s="32"/>
      <c r="F54" s="32"/>
      <c r="G54" s="32"/>
    </row>
    <row r="55" spans="1:7" ht="15" customHeight="1">
      <c r="A55" s="30"/>
      <c r="B55" s="32"/>
      <c r="C55" s="32"/>
      <c r="D55" s="32"/>
      <c r="E55" s="32"/>
      <c r="F55" s="32"/>
      <c r="G55" s="32"/>
    </row>
    <row r="56" spans="1:7" ht="15" customHeight="1">
      <c r="A56" s="30"/>
      <c r="B56" s="32"/>
      <c r="C56" s="32"/>
      <c r="D56" s="32"/>
      <c r="E56" s="32"/>
      <c r="F56" s="32"/>
      <c r="G56" s="32"/>
    </row>
    <row r="57" spans="1:7" ht="15" customHeight="1">
      <c r="A57" s="30"/>
      <c r="B57" s="32"/>
      <c r="C57" s="32"/>
      <c r="D57" s="32"/>
      <c r="E57" s="32"/>
      <c r="F57" s="32"/>
      <c r="G57" s="32"/>
    </row>
    <row r="58" spans="1:7" ht="15" customHeight="1">
      <c r="A58" s="30"/>
      <c r="B58" s="32"/>
      <c r="C58" s="32"/>
      <c r="D58" s="32"/>
      <c r="E58" s="32"/>
      <c r="F58" s="32"/>
      <c r="G58" s="32"/>
    </row>
    <row r="59" spans="1:7" ht="15" customHeight="1">
      <c r="A59" s="30"/>
      <c r="B59" s="32"/>
      <c r="C59" s="32"/>
      <c r="D59" s="32"/>
      <c r="E59" s="32"/>
      <c r="F59" s="32"/>
      <c r="G59" s="32"/>
    </row>
    <row r="60" spans="1:7" ht="15" customHeight="1">
      <c r="A60" s="30"/>
      <c r="B60" s="32"/>
      <c r="C60" s="32"/>
      <c r="D60" s="32"/>
      <c r="E60" s="32"/>
      <c r="F60" s="32"/>
      <c r="G60" s="32"/>
    </row>
    <row r="61" spans="1:7" ht="15" customHeight="1">
      <c r="A61" s="30"/>
      <c r="B61" s="32"/>
      <c r="C61" s="32"/>
      <c r="D61" s="32"/>
      <c r="E61" s="32"/>
      <c r="F61" s="32"/>
      <c r="G61" s="32"/>
    </row>
    <row r="62" spans="1:7" ht="15" customHeight="1">
      <c r="A62" s="30"/>
      <c r="B62" s="32"/>
      <c r="C62" s="32"/>
      <c r="D62" s="32"/>
      <c r="E62" s="32"/>
      <c r="F62" s="32"/>
      <c r="G62" s="32"/>
    </row>
    <row r="63" spans="1:7" ht="15" customHeight="1">
      <c r="A63" s="30"/>
      <c r="B63" s="32"/>
      <c r="C63" s="32"/>
      <c r="D63" s="32"/>
      <c r="E63" s="32"/>
      <c r="F63" s="32"/>
      <c r="G63" s="32"/>
    </row>
    <row r="64" spans="1:7" ht="15" customHeight="1">
      <c r="A64" s="30"/>
      <c r="B64" s="32"/>
      <c r="C64" s="32"/>
      <c r="D64" s="32"/>
      <c r="E64" s="32"/>
      <c r="F64" s="32"/>
      <c r="G64" s="32"/>
    </row>
    <row r="65" spans="1:7" ht="15" customHeight="1">
      <c r="A65" s="30"/>
      <c r="B65" s="32"/>
      <c r="C65" s="32"/>
      <c r="D65" s="32"/>
      <c r="E65" s="32"/>
      <c r="F65" s="32"/>
      <c r="G65" s="32"/>
    </row>
    <row r="66" spans="1:7" ht="15" customHeight="1">
      <c r="A66" s="30"/>
      <c r="B66" s="32"/>
      <c r="C66" s="32"/>
      <c r="D66" s="32"/>
      <c r="E66" s="32"/>
      <c r="F66" s="32"/>
      <c r="G66" s="32"/>
    </row>
    <row r="67" spans="1:7" ht="15" customHeight="1">
      <c r="A67" s="30"/>
      <c r="B67" s="32"/>
      <c r="C67" s="32"/>
      <c r="D67" s="32"/>
      <c r="E67" s="32"/>
      <c r="F67" s="32"/>
      <c r="G67" s="32"/>
    </row>
    <row r="68" spans="1:7" ht="15" customHeight="1">
      <c r="A68" s="30"/>
      <c r="B68" s="32"/>
      <c r="C68" s="32"/>
      <c r="D68" s="32"/>
      <c r="E68" s="32"/>
      <c r="F68" s="32"/>
      <c r="G68" s="32"/>
    </row>
    <row r="69" spans="1:7" ht="15" customHeight="1">
      <c r="A69" s="30"/>
      <c r="B69" s="32"/>
      <c r="C69" s="32"/>
      <c r="D69" s="32"/>
      <c r="E69" s="32"/>
      <c r="F69" s="32"/>
      <c r="G69" s="32"/>
    </row>
    <row r="70" spans="1:7" ht="15" customHeight="1">
      <c r="A70" s="30"/>
      <c r="B70" s="32"/>
      <c r="C70" s="32"/>
      <c r="D70" s="32"/>
      <c r="E70" s="32"/>
      <c r="F70" s="32"/>
      <c r="G70" s="32"/>
    </row>
    <row r="71" spans="1:7" ht="15" customHeight="1">
      <c r="A71" s="30"/>
      <c r="B71" s="32"/>
      <c r="C71" s="32"/>
      <c r="D71" s="32"/>
      <c r="E71" s="32"/>
      <c r="F71" s="32"/>
      <c r="G71" s="32"/>
    </row>
    <row r="72" spans="1:7" ht="15" customHeight="1">
      <c r="A72" s="30"/>
      <c r="B72" s="32"/>
      <c r="C72" s="32"/>
      <c r="D72" s="32"/>
      <c r="E72" s="32"/>
      <c r="F72" s="32"/>
      <c r="G72" s="32"/>
    </row>
    <row r="73" spans="1:7" ht="15" customHeight="1">
      <c r="A73" s="30"/>
      <c r="B73" s="32"/>
      <c r="C73" s="32"/>
      <c r="D73" s="32"/>
      <c r="E73" s="32"/>
      <c r="F73" s="32"/>
      <c r="G73" s="32"/>
    </row>
    <row r="74" spans="1:7" ht="15" customHeight="1">
      <c r="A74" s="30"/>
      <c r="B74" s="32"/>
      <c r="C74" s="32"/>
      <c r="D74" s="32"/>
      <c r="E74" s="32"/>
      <c r="F74" s="32"/>
      <c r="G74" s="32"/>
    </row>
    <row r="75" spans="1:7" ht="15" customHeight="1">
      <c r="A75" s="30"/>
      <c r="B75" s="32"/>
      <c r="C75" s="32"/>
      <c r="D75" s="32"/>
      <c r="E75" s="32"/>
      <c r="F75" s="32"/>
      <c r="G75" s="32"/>
    </row>
    <row r="76" spans="1:7" ht="15" customHeight="1">
      <c r="A76" s="30"/>
      <c r="B76" s="32"/>
      <c r="C76" s="32"/>
      <c r="D76" s="32"/>
      <c r="E76" s="32"/>
      <c r="F76" s="32"/>
      <c r="G76" s="32"/>
    </row>
    <row r="77" spans="1:7" ht="15" customHeight="1">
      <c r="A77" s="30"/>
      <c r="B77" s="32"/>
      <c r="C77" s="32"/>
      <c r="D77" s="32"/>
      <c r="E77" s="32"/>
      <c r="F77" s="32"/>
      <c r="G77" s="32"/>
    </row>
    <row r="78" spans="1:7" ht="15" customHeight="1">
      <c r="A78" s="30"/>
      <c r="B78" s="32"/>
      <c r="C78" s="32"/>
      <c r="D78" s="32"/>
      <c r="E78" s="32"/>
      <c r="F78" s="32"/>
      <c r="G78" s="32"/>
    </row>
    <row r="79" spans="1:7" ht="15" customHeight="1">
      <c r="A79" s="30"/>
      <c r="B79" s="32"/>
      <c r="C79" s="32"/>
      <c r="D79" s="32"/>
      <c r="E79" s="32"/>
      <c r="F79" s="32"/>
      <c r="G79" s="32"/>
    </row>
    <row r="80" spans="1:7" ht="15" customHeight="1">
      <c r="A80" s="30"/>
      <c r="B80" s="32"/>
      <c r="C80" s="32"/>
      <c r="D80" s="32"/>
      <c r="E80" s="32"/>
      <c r="F80" s="32"/>
      <c r="G80" s="32"/>
    </row>
    <row r="81" spans="1:7" ht="15" customHeight="1">
      <c r="A81" s="30"/>
      <c r="B81" s="32"/>
      <c r="C81" s="32"/>
      <c r="D81" s="32"/>
      <c r="E81" s="32"/>
      <c r="F81" s="32"/>
      <c r="G81" s="32"/>
    </row>
    <row r="82" spans="1:7" ht="15" customHeight="1">
      <c r="A82" s="30"/>
      <c r="B82" s="32"/>
      <c r="C82" s="32"/>
      <c r="D82" s="32"/>
      <c r="E82" s="32"/>
      <c r="F82" s="32"/>
      <c r="G82" s="32"/>
    </row>
    <row r="83" spans="1:7" ht="15" customHeight="1">
      <c r="A83" s="30"/>
      <c r="B83" s="32"/>
      <c r="C83" s="32"/>
      <c r="D83" s="32"/>
      <c r="E83" s="32"/>
      <c r="F83" s="32"/>
      <c r="G83" s="32"/>
    </row>
    <row r="84" spans="1:7" ht="15" customHeight="1">
      <c r="A84" s="30"/>
      <c r="B84" s="32"/>
      <c r="C84" s="32"/>
      <c r="D84" s="32"/>
      <c r="E84" s="32"/>
      <c r="F84" s="32"/>
      <c r="G84" s="32"/>
    </row>
    <row r="85" spans="1:7" ht="15" customHeight="1">
      <c r="A85" s="30"/>
      <c r="B85" s="32"/>
      <c r="C85" s="32"/>
      <c r="D85" s="32"/>
      <c r="E85" s="32"/>
      <c r="F85" s="32"/>
      <c r="G85" s="32"/>
    </row>
    <row r="86" spans="1:7" ht="15" customHeight="1">
      <c r="A86" s="30"/>
      <c r="B86" s="32"/>
      <c r="C86" s="32"/>
      <c r="D86" s="32"/>
      <c r="E86" s="32"/>
      <c r="F86" s="32"/>
      <c r="G86" s="32"/>
    </row>
    <row r="87" spans="1:7" ht="15" customHeight="1">
      <c r="A87" s="30"/>
      <c r="B87" s="32"/>
      <c r="C87" s="32"/>
      <c r="D87" s="32"/>
      <c r="E87" s="32"/>
      <c r="F87" s="32"/>
      <c r="G87" s="32"/>
    </row>
    <row r="88" spans="1:7" ht="15" customHeight="1">
      <c r="A88" s="30"/>
      <c r="B88" s="32"/>
      <c r="C88" s="32"/>
      <c r="D88" s="32"/>
      <c r="E88" s="32"/>
      <c r="F88" s="32"/>
      <c r="G88" s="32"/>
    </row>
    <row r="89" spans="1:7" ht="15" customHeight="1">
      <c r="A89" s="30"/>
      <c r="B89" s="32"/>
      <c r="C89" s="32"/>
      <c r="D89" s="32"/>
      <c r="E89" s="32"/>
      <c r="F89" s="32"/>
      <c r="G89" s="32"/>
    </row>
    <row r="90" spans="1:7" ht="15" customHeight="1">
      <c r="A90" s="30"/>
      <c r="B90" s="32"/>
      <c r="C90" s="32"/>
      <c r="D90" s="32"/>
      <c r="E90" s="32"/>
      <c r="F90" s="32"/>
      <c r="G90" s="32"/>
    </row>
    <row r="91" spans="1:7" ht="15" customHeight="1">
      <c r="A91" s="30"/>
      <c r="B91" s="32"/>
      <c r="C91" s="32"/>
      <c r="D91" s="32"/>
      <c r="E91" s="32"/>
      <c r="F91" s="32"/>
      <c r="G91" s="32"/>
    </row>
    <row r="92" spans="1:7" ht="15" customHeight="1">
      <c r="A92" s="30"/>
      <c r="B92" s="32"/>
      <c r="C92" s="32"/>
      <c r="D92" s="32"/>
      <c r="E92" s="32"/>
      <c r="F92" s="32"/>
      <c r="G92" s="32"/>
    </row>
    <row r="93" spans="1:7" ht="15" customHeight="1">
      <c r="A93" s="30"/>
      <c r="B93" s="32"/>
      <c r="C93" s="32"/>
      <c r="D93" s="32"/>
      <c r="E93" s="32"/>
      <c r="F93" s="32"/>
      <c r="G93" s="32"/>
    </row>
    <row r="94" spans="1:7" ht="15" customHeight="1">
      <c r="A94" s="30"/>
      <c r="B94" s="32"/>
      <c r="C94" s="32"/>
      <c r="D94" s="32"/>
      <c r="E94" s="32"/>
      <c r="F94" s="32"/>
      <c r="G94" s="32"/>
    </row>
    <row r="95" spans="1:7" ht="15" customHeight="1">
      <c r="A95" s="30"/>
      <c r="B95" s="32"/>
      <c r="C95" s="32"/>
      <c r="D95" s="32"/>
      <c r="E95" s="32"/>
      <c r="F95" s="32"/>
      <c r="G95" s="32"/>
    </row>
    <row r="96" spans="1:7" ht="15" customHeight="1">
      <c r="A96" s="30"/>
      <c r="B96" s="32"/>
      <c r="C96" s="32"/>
      <c r="D96" s="32"/>
      <c r="E96" s="32"/>
      <c r="F96" s="32"/>
      <c r="G96" s="32"/>
    </row>
    <row r="97" spans="1:7" ht="15" customHeight="1">
      <c r="A97" s="30"/>
      <c r="B97" s="32"/>
      <c r="C97" s="32"/>
      <c r="D97" s="32"/>
      <c r="E97" s="32"/>
      <c r="F97" s="32"/>
      <c r="G97" s="32"/>
    </row>
    <row r="98" spans="1:7" ht="15" customHeight="1">
      <c r="A98" s="30"/>
      <c r="B98" s="32"/>
      <c r="C98" s="32"/>
      <c r="D98" s="32"/>
      <c r="E98" s="32"/>
      <c r="F98" s="32"/>
      <c r="G98" s="32"/>
    </row>
    <row r="99" spans="1:7" ht="15" customHeight="1">
      <c r="A99" s="30"/>
      <c r="B99" s="32"/>
      <c r="C99" s="32"/>
      <c r="D99" s="32"/>
      <c r="E99" s="32"/>
      <c r="F99" s="32"/>
      <c r="G99" s="32"/>
    </row>
    <row r="100" spans="1:7" ht="15" customHeight="1">
      <c r="A100" s="30"/>
      <c r="B100" s="32"/>
      <c r="C100" s="32"/>
      <c r="D100" s="32"/>
      <c r="E100" s="32"/>
      <c r="F100" s="32"/>
      <c r="G100" s="32"/>
    </row>
    <row r="101" spans="1:7" ht="15" customHeight="1">
      <c r="A101" s="30"/>
      <c r="B101" s="32"/>
      <c r="C101" s="32"/>
      <c r="D101" s="32"/>
      <c r="E101" s="32"/>
      <c r="F101" s="32"/>
      <c r="G101" s="32"/>
    </row>
    <row r="102" spans="1:7" ht="15" customHeight="1">
      <c r="A102" s="30"/>
      <c r="B102" s="32"/>
      <c r="C102" s="32"/>
      <c r="D102" s="32"/>
      <c r="E102" s="32"/>
      <c r="F102" s="32"/>
      <c r="G102" s="32"/>
    </row>
    <row r="103" spans="1:7" ht="15" customHeight="1">
      <c r="A103" s="30"/>
      <c r="B103" s="32"/>
      <c r="C103" s="32"/>
      <c r="D103" s="32"/>
      <c r="E103" s="32"/>
      <c r="F103" s="32"/>
      <c r="G103" s="32"/>
    </row>
    <row r="104" spans="1:7" ht="15" customHeight="1">
      <c r="A104" s="30"/>
      <c r="B104" s="32"/>
      <c r="C104" s="32"/>
      <c r="D104" s="32"/>
      <c r="E104" s="32"/>
      <c r="F104" s="32"/>
      <c r="G104" s="32"/>
    </row>
    <row r="105" spans="1:7" ht="15" customHeight="1">
      <c r="A105" s="30"/>
      <c r="B105" s="32"/>
      <c r="C105" s="32"/>
      <c r="D105" s="32"/>
      <c r="E105" s="32"/>
      <c r="F105" s="32"/>
      <c r="G105" s="32"/>
    </row>
    <row r="106" spans="1:7" ht="15" customHeight="1">
      <c r="A106" s="30"/>
      <c r="B106" s="32"/>
      <c r="C106" s="32"/>
      <c r="D106" s="32"/>
      <c r="E106" s="32"/>
      <c r="F106" s="32"/>
      <c r="G106" s="32"/>
    </row>
    <row r="107" spans="1:7" ht="15" customHeight="1">
      <c r="A107" s="30"/>
      <c r="B107" s="32"/>
      <c r="C107" s="32"/>
      <c r="D107" s="32"/>
      <c r="E107" s="32"/>
      <c r="F107" s="32"/>
      <c r="G107" s="32"/>
    </row>
    <row r="108" spans="1:7" ht="15" customHeight="1">
      <c r="A108" s="30"/>
      <c r="B108" s="32"/>
      <c r="C108" s="32"/>
      <c r="D108" s="32"/>
      <c r="E108" s="32"/>
      <c r="F108" s="32"/>
      <c r="G108" s="32"/>
    </row>
    <row r="109" spans="1:7" ht="15" customHeight="1">
      <c r="A109" s="30"/>
      <c r="B109" s="32"/>
      <c r="C109" s="32"/>
      <c r="D109" s="32"/>
      <c r="E109" s="32"/>
      <c r="F109" s="32"/>
      <c r="G109" s="32"/>
    </row>
    <row r="110" spans="1:7" ht="15" customHeight="1">
      <c r="A110" s="30"/>
      <c r="B110" s="32"/>
      <c r="C110" s="32"/>
      <c r="D110" s="32"/>
      <c r="E110" s="32"/>
      <c r="F110" s="32"/>
      <c r="G110" s="32"/>
    </row>
    <row r="111" spans="1:7" ht="15" customHeight="1">
      <c r="A111" s="30"/>
      <c r="B111" s="32"/>
      <c r="C111" s="32"/>
      <c r="D111" s="32"/>
      <c r="E111" s="32"/>
      <c r="F111" s="32"/>
      <c r="G111" s="32"/>
    </row>
    <row r="112" spans="1:7" ht="15" customHeight="1">
      <c r="A112" s="30"/>
      <c r="B112" s="32"/>
      <c r="C112" s="32"/>
      <c r="D112" s="32"/>
      <c r="E112" s="32"/>
      <c r="F112" s="32"/>
      <c r="G112" s="32"/>
    </row>
    <row r="113" spans="1:7" ht="15" customHeight="1">
      <c r="A113" s="30"/>
      <c r="B113" s="32"/>
      <c r="C113" s="32"/>
      <c r="D113" s="32"/>
      <c r="E113" s="32"/>
      <c r="F113" s="32"/>
      <c r="G113" s="32"/>
    </row>
    <row r="114" spans="1:7" ht="15" customHeight="1">
      <c r="A114" s="30"/>
      <c r="B114" s="32"/>
      <c r="C114" s="32"/>
      <c r="D114" s="32"/>
      <c r="E114" s="32"/>
      <c r="F114" s="32"/>
      <c r="G114" s="32"/>
    </row>
    <row r="115" spans="1:7" ht="15" customHeight="1">
      <c r="A115" s="30"/>
      <c r="B115" s="32"/>
      <c r="C115" s="32"/>
      <c r="D115" s="32"/>
      <c r="E115" s="32"/>
      <c r="F115" s="32"/>
      <c r="G115" s="32"/>
    </row>
    <row r="116" spans="1:7" ht="15" customHeight="1">
      <c r="A116" s="30"/>
      <c r="B116" s="32"/>
      <c r="C116" s="32"/>
      <c r="D116" s="32"/>
      <c r="E116" s="32"/>
      <c r="F116" s="32"/>
      <c r="G116" s="32"/>
    </row>
    <row r="117" spans="1:7" ht="15" customHeight="1">
      <c r="A117" s="30"/>
      <c r="B117" s="32"/>
      <c r="C117" s="32"/>
      <c r="D117" s="32"/>
      <c r="E117" s="32"/>
      <c r="F117" s="32"/>
      <c r="G117" s="32"/>
    </row>
    <row r="118" spans="1:7" ht="15" customHeight="1">
      <c r="A118" s="30"/>
      <c r="B118" s="32"/>
      <c r="C118" s="32"/>
      <c r="D118" s="32"/>
      <c r="E118" s="32"/>
      <c r="F118" s="32"/>
      <c r="G118" s="32"/>
    </row>
    <row r="119" spans="1:7" ht="15" customHeight="1">
      <c r="A119" s="30"/>
      <c r="B119" s="32"/>
      <c r="C119" s="32"/>
      <c r="D119" s="32"/>
      <c r="E119" s="32"/>
      <c r="F119" s="32"/>
      <c r="G119" s="32"/>
    </row>
    <row r="120" spans="1:7" ht="15" customHeight="1">
      <c r="A120" s="30"/>
      <c r="B120" s="32"/>
      <c r="C120" s="32"/>
      <c r="D120" s="32"/>
      <c r="E120" s="32"/>
      <c r="F120" s="32"/>
      <c r="G120" s="32"/>
    </row>
    <row r="121" spans="1:7" ht="15" customHeight="1">
      <c r="A121" s="30"/>
      <c r="B121" s="32"/>
      <c r="C121" s="32"/>
      <c r="D121" s="32"/>
      <c r="E121" s="32"/>
      <c r="F121" s="32"/>
      <c r="G121" s="32"/>
    </row>
    <row r="122" spans="1:7" ht="15" customHeight="1">
      <c r="A122" s="30"/>
      <c r="B122" s="32"/>
      <c r="C122" s="32"/>
      <c r="D122" s="32"/>
      <c r="E122" s="32"/>
      <c r="F122" s="32"/>
      <c r="G122" s="32"/>
    </row>
    <row r="123" spans="1:7" ht="15" customHeight="1">
      <c r="A123" s="30"/>
      <c r="B123" s="32"/>
      <c r="C123" s="32"/>
      <c r="D123" s="32"/>
      <c r="E123" s="32"/>
      <c r="F123" s="32"/>
      <c r="G123" s="32"/>
    </row>
    <row r="124" spans="1:7" ht="15" customHeight="1">
      <c r="A124" s="30"/>
      <c r="B124" s="32"/>
      <c r="C124" s="32"/>
      <c r="D124" s="32"/>
      <c r="E124" s="32"/>
      <c r="F124" s="32"/>
      <c r="G124" s="32"/>
    </row>
    <row r="125" spans="1:7" ht="15" customHeight="1">
      <c r="A125" s="30"/>
      <c r="B125" s="32"/>
      <c r="C125" s="32"/>
      <c r="D125" s="32"/>
      <c r="E125" s="32"/>
      <c r="F125" s="32"/>
      <c r="G125" s="32"/>
    </row>
    <row r="126" spans="1:7" ht="15" customHeight="1">
      <c r="A126" s="30"/>
      <c r="B126" s="32"/>
      <c r="C126" s="32"/>
      <c r="D126" s="32"/>
      <c r="E126" s="32"/>
      <c r="F126" s="32"/>
      <c r="G126" s="32"/>
    </row>
    <row r="127" spans="1:7" ht="15" customHeight="1">
      <c r="A127" s="30"/>
      <c r="B127" s="32"/>
      <c r="C127" s="32"/>
      <c r="D127" s="32"/>
      <c r="E127" s="32"/>
      <c r="F127" s="32"/>
      <c r="G127" s="32"/>
    </row>
    <row r="128" spans="1:7" ht="15" customHeight="1">
      <c r="A128" s="30"/>
      <c r="B128" s="32"/>
      <c r="C128" s="32"/>
      <c r="D128" s="32"/>
      <c r="E128" s="32"/>
      <c r="F128" s="32"/>
      <c r="G128" s="32"/>
    </row>
    <row r="129" spans="1:7" ht="15" customHeight="1">
      <c r="A129" s="30"/>
      <c r="B129" s="32"/>
      <c r="C129" s="32"/>
      <c r="D129" s="32"/>
      <c r="E129" s="32"/>
      <c r="F129" s="32"/>
      <c r="G129" s="32"/>
    </row>
    <row r="130" spans="1:7" ht="15" customHeight="1">
      <c r="A130" s="30"/>
      <c r="B130" s="32"/>
      <c r="C130" s="32"/>
      <c r="D130" s="32"/>
      <c r="E130" s="32"/>
      <c r="F130" s="32"/>
      <c r="G130" s="32"/>
    </row>
    <row r="131" spans="1:7" ht="15" customHeight="1">
      <c r="A131" s="30"/>
      <c r="B131" s="32"/>
      <c r="C131" s="32"/>
      <c r="D131" s="32"/>
      <c r="E131" s="32"/>
      <c r="F131" s="32"/>
      <c r="G131" s="32"/>
    </row>
    <row r="132" spans="1:7" ht="15" customHeight="1">
      <c r="A132" s="30"/>
      <c r="B132" s="32"/>
      <c r="C132" s="32"/>
      <c r="D132" s="32"/>
      <c r="E132" s="32"/>
      <c r="F132" s="32"/>
      <c r="G132" s="32"/>
    </row>
    <row r="133" spans="1:7" ht="15" customHeight="1">
      <c r="A133" s="30"/>
      <c r="B133" s="32"/>
      <c r="C133" s="32"/>
      <c r="D133" s="32"/>
      <c r="E133" s="32"/>
      <c r="F133" s="32"/>
      <c r="G133" s="32"/>
    </row>
    <row r="134" spans="1:7" ht="15" customHeight="1">
      <c r="A134" s="30"/>
      <c r="B134" s="32"/>
      <c r="C134" s="32"/>
      <c r="D134" s="32"/>
      <c r="E134" s="32"/>
      <c r="F134" s="32"/>
      <c r="G134" s="32"/>
    </row>
    <row r="135" spans="1:7" ht="15" customHeight="1">
      <c r="A135" s="30"/>
      <c r="B135" s="32"/>
      <c r="C135" s="32"/>
      <c r="D135" s="32"/>
      <c r="E135" s="32"/>
      <c r="F135" s="32"/>
      <c r="G135" s="32"/>
    </row>
    <row r="136" spans="1:7" ht="15" customHeight="1">
      <c r="A136" s="30"/>
      <c r="B136" s="32"/>
      <c r="C136" s="32"/>
      <c r="D136" s="32"/>
      <c r="E136" s="32"/>
      <c r="F136" s="32"/>
      <c r="G136" s="32"/>
    </row>
    <row r="137" spans="1:7" ht="15" customHeight="1">
      <c r="A137" s="30"/>
      <c r="B137" s="32"/>
      <c r="C137" s="32"/>
      <c r="D137" s="32"/>
      <c r="E137" s="32"/>
      <c r="F137" s="32"/>
      <c r="G137" s="32"/>
    </row>
    <row r="138" spans="1:7" ht="15" customHeight="1">
      <c r="A138" s="30"/>
      <c r="B138" s="32"/>
      <c r="C138" s="32"/>
      <c r="D138" s="32"/>
      <c r="E138" s="32"/>
      <c r="F138" s="32"/>
      <c r="G138" s="32"/>
    </row>
    <row r="139" spans="1:7" ht="15" customHeight="1">
      <c r="A139" s="30"/>
      <c r="B139" s="32"/>
      <c r="C139" s="32"/>
      <c r="D139" s="32"/>
      <c r="E139" s="32"/>
      <c r="F139" s="32"/>
      <c r="G139" s="32"/>
    </row>
    <row r="140" spans="1:7" ht="15" customHeight="1">
      <c r="A140" s="30"/>
      <c r="B140" s="32"/>
      <c r="C140" s="32"/>
      <c r="D140" s="32"/>
      <c r="E140" s="32"/>
      <c r="F140" s="32"/>
      <c r="G140" s="32"/>
    </row>
    <row r="141" spans="1:7" ht="15" customHeight="1">
      <c r="A141" s="30"/>
      <c r="B141" s="32"/>
      <c r="C141" s="32"/>
      <c r="D141" s="32"/>
      <c r="E141" s="32"/>
      <c r="F141" s="32"/>
      <c r="G141" s="32"/>
    </row>
    <row r="142" spans="1:7" ht="15" customHeight="1">
      <c r="A142" s="30"/>
      <c r="B142" s="32"/>
      <c r="C142" s="32"/>
      <c r="D142" s="32"/>
      <c r="E142" s="32"/>
      <c r="F142" s="32"/>
      <c r="G142" s="32"/>
    </row>
    <row r="143" spans="1:7" ht="15" customHeight="1">
      <c r="A143" s="30"/>
      <c r="B143" s="32"/>
      <c r="C143" s="32"/>
      <c r="D143" s="32"/>
      <c r="E143" s="32"/>
      <c r="F143" s="32"/>
      <c r="G143" s="32"/>
    </row>
    <row r="144" spans="1:7" ht="15" customHeight="1">
      <c r="A144" s="30"/>
      <c r="B144" s="32"/>
      <c r="C144" s="32"/>
      <c r="D144" s="32"/>
      <c r="E144" s="32"/>
      <c r="F144" s="32"/>
      <c r="G144" s="32"/>
    </row>
    <row r="145" spans="1:7" ht="15" customHeight="1">
      <c r="A145" s="30"/>
      <c r="B145" s="32"/>
      <c r="C145" s="32"/>
      <c r="D145" s="32"/>
      <c r="E145" s="32"/>
      <c r="F145" s="32"/>
      <c r="G145" s="32"/>
    </row>
    <row r="146" spans="1:7" ht="15" customHeight="1">
      <c r="A146" s="30"/>
      <c r="B146" s="32"/>
      <c r="C146" s="32"/>
      <c r="D146" s="32"/>
      <c r="E146" s="32"/>
      <c r="F146" s="32"/>
      <c r="G146" s="32"/>
    </row>
    <row r="147" spans="1:7" ht="15" customHeight="1">
      <c r="A147" s="30"/>
      <c r="B147" s="32"/>
      <c r="C147" s="32"/>
      <c r="D147" s="32"/>
      <c r="E147" s="32"/>
      <c r="F147" s="32"/>
      <c r="G147" s="32"/>
    </row>
    <row r="148" spans="1:7" ht="15" customHeight="1">
      <c r="A148" s="30"/>
      <c r="B148" s="32"/>
      <c r="C148" s="32"/>
      <c r="D148" s="32"/>
      <c r="E148" s="32"/>
      <c r="F148" s="32"/>
      <c r="G148" s="32"/>
    </row>
    <row r="149" spans="1:7" ht="15" customHeight="1">
      <c r="A149" s="30"/>
      <c r="B149" s="32"/>
      <c r="C149" s="32"/>
      <c r="D149" s="32"/>
      <c r="E149" s="32"/>
      <c r="F149" s="32"/>
      <c r="G149" s="32"/>
    </row>
    <row r="150" spans="1:7" ht="15" customHeight="1">
      <c r="A150" s="30"/>
      <c r="B150" s="32"/>
      <c r="C150" s="32"/>
      <c r="D150" s="32"/>
      <c r="E150" s="32"/>
      <c r="F150" s="32"/>
      <c r="G150" s="32"/>
    </row>
    <row r="151" spans="1:7" ht="15" customHeight="1">
      <c r="A151" s="30"/>
      <c r="B151" s="32"/>
      <c r="C151" s="32"/>
      <c r="D151" s="32"/>
      <c r="E151" s="32"/>
      <c r="F151" s="32"/>
      <c r="G151" s="32"/>
    </row>
    <row r="152" spans="1:7" ht="15" customHeight="1">
      <c r="A152" s="30"/>
      <c r="B152" s="32"/>
      <c r="C152" s="32"/>
      <c r="D152" s="32"/>
      <c r="E152" s="32"/>
      <c r="F152" s="32"/>
      <c r="G152" s="32"/>
    </row>
    <row r="153" spans="1:7" ht="15" customHeight="1">
      <c r="A153" s="30"/>
      <c r="B153" s="32"/>
      <c r="C153" s="32"/>
      <c r="D153" s="32"/>
      <c r="E153" s="32"/>
      <c r="F153" s="32"/>
      <c r="G153" s="32"/>
    </row>
    <row r="154" spans="1:7" ht="15" customHeight="1">
      <c r="A154" s="30"/>
      <c r="B154" s="32"/>
      <c r="C154" s="32"/>
      <c r="D154" s="32"/>
      <c r="E154" s="32"/>
      <c r="F154" s="32"/>
      <c r="G154" s="32"/>
    </row>
    <row r="155" spans="1:7" ht="15" customHeight="1">
      <c r="A155" s="30"/>
      <c r="B155" s="32"/>
      <c r="C155" s="32"/>
      <c r="D155" s="32"/>
      <c r="E155" s="32"/>
      <c r="F155" s="32"/>
      <c r="G155" s="32"/>
    </row>
    <row r="156" spans="1:7" ht="15" customHeight="1">
      <c r="A156" s="30"/>
      <c r="B156" s="32"/>
      <c r="C156" s="32"/>
      <c r="D156" s="32"/>
      <c r="E156" s="32"/>
      <c r="F156" s="32"/>
      <c r="G156" s="32"/>
    </row>
    <row r="157" spans="1:7" ht="15" customHeight="1">
      <c r="A157" s="30"/>
      <c r="B157" s="32"/>
      <c r="C157" s="32"/>
      <c r="D157" s="32"/>
      <c r="E157" s="32"/>
      <c r="F157" s="32"/>
      <c r="G157" s="32"/>
    </row>
    <row r="158" spans="1:7" ht="15" customHeight="1">
      <c r="A158" s="30"/>
      <c r="B158" s="32"/>
      <c r="C158" s="32"/>
      <c r="D158" s="32"/>
      <c r="E158" s="32"/>
      <c r="F158" s="32"/>
      <c r="G158" s="32"/>
    </row>
    <row r="159" spans="1:7" ht="15" customHeight="1">
      <c r="A159" s="30"/>
      <c r="B159" s="32"/>
      <c r="C159" s="32"/>
      <c r="D159" s="32"/>
      <c r="E159" s="32"/>
      <c r="F159" s="32"/>
      <c r="G159" s="32"/>
    </row>
    <row r="160" spans="1:7" ht="15" customHeight="1">
      <c r="A160" s="30"/>
      <c r="B160" s="32"/>
      <c r="C160" s="32"/>
      <c r="D160" s="32"/>
      <c r="E160" s="32"/>
      <c r="F160" s="32"/>
      <c r="G160" s="32"/>
    </row>
    <row r="161" spans="1:7" ht="15" customHeight="1">
      <c r="A161" s="30"/>
      <c r="B161" s="32"/>
      <c r="C161" s="32"/>
      <c r="D161" s="32"/>
      <c r="E161" s="32"/>
      <c r="F161" s="32"/>
      <c r="G161" s="32"/>
    </row>
    <row r="162" spans="1:7" ht="15" customHeight="1">
      <c r="A162" s="30"/>
      <c r="B162" s="32"/>
      <c r="C162" s="32"/>
      <c r="D162" s="32"/>
      <c r="E162" s="32"/>
      <c r="F162" s="32"/>
      <c r="G162" s="32"/>
    </row>
    <row r="163" spans="1:7" ht="15" customHeight="1">
      <c r="A163" s="30"/>
      <c r="B163" s="32"/>
      <c r="C163" s="32"/>
      <c r="D163" s="32"/>
      <c r="E163" s="32"/>
      <c r="F163" s="32"/>
      <c r="G163" s="32"/>
    </row>
    <row r="164" spans="1:7" ht="15" customHeight="1">
      <c r="A164" s="30"/>
      <c r="B164" s="32"/>
      <c r="C164" s="32"/>
      <c r="D164" s="32"/>
      <c r="E164" s="32"/>
      <c r="F164" s="32"/>
      <c r="G164" s="32"/>
    </row>
    <row r="165" spans="1:7" ht="15" customHeight="1">
      <c r="A165" s="30"/>
      <c r="B165" s="32"/>
      <c r="C165" s="32"/>
      <c r="D165" s="32"/>
      <c r="E165" s="32"/>
      <c r="F165" s="32"/>
      <c r="G165" s="32"/>
    </row>
    <row r="166" spans="1:7" ht="15" customHeight="1">
      <c r="A166" s="30"/>
      <c r="B166" s="32"/>
      <c r="C166" s="32"/>
      <c r="D166" s="32"/>
      <c r="E166" s="32"/>
      <c r="F166" s="32"/>
      <c r="G166" s="32"/>
    </row>
    <row r="167" spans="1:7" ht="15" customHeight="1">
      <c r="A167" s="30"/>
      <c r="B167" s="32"/>
      <c r="C167" s="32"/>
      <c r="D167" s="32"/>
      <c r="E167" s="32"/>
      <c r="F167" s="32"/>
      <c r="G167" s="32"/>
    </row>
    <row r="168" spans="1:7" ht="15" customHeight="1">
      <c r="A168" s="30"/>
      <c r="B168" s="32"/>
      <c r="C168" s="32"/>
      <c r="D168" s="32"/>
      <c r="E168" s="32"/>
      <c r="F168" s="32"/>
      <c r="G168" s="32"/>
    </row>
    <row r="169" spans="1:7" ht="15" customHeight="1">
      <c r="A169" s="30"/>
      <c r="B169" s="32"/>
      <c r="C169" s="32"/>
      <c r="D169" s="32"/>
      <c r="E169" s="32"/>
      <c r="F169" s="32"/>
      <c r="G169" s="32"/>
    </row>
    <row r="170" spans="1:7" ht="15" customHeight="1">
      <c r="A170" s="30"/>
      <c r="B170" s="32"/>
      <c r="C170" s="32"/>
      <c r="D170" s="32"/>
      <c r="E170" s="32"/>
      <c r="F170" s="32"/>
      <c r="G170" s="32"/>
    </row>
    <row r="171" spans="1:7" ht="15" customHeight="1">
      <c r="A171" s="30"/>
      <c r="B171" s="32"/>
      <c r="C171" s="32"/>
      <c r="D171" s="32"/>
      <c r="E171" s="32"/>
      <c r="F171" s="32"/>
      <c r="G171" s="32"/>
    </row>
    <row r="172" spans="1:7" ht="15" customHeight="1">
      <c r="A172" s="30"/>
      <c r="B172" s="32"/>
      <c r="C172" s="32"/>
      <c r="D172" s="32"/>
      <c r="E172" s="32"/>
      <c r="F172" s="32"/>
      <c r="G172" s="32"/>
    </row>
    <row r="173" spans="1:7" ht="15" customHeight="1">
      <c r="A173" s="30"/>
      <c r="B173" s="32"/>
      <c r="C173" s="32"/>
      <c r="D173" s="32"/>
      <c r="E173" s="32"/>
      <c r="F173" s="32"/>
      <c r="G173" s="32"/>
    </row>
    <row r="174" spans="1:7" ht="15" customHeight="1">
      <c r="A174" s="30"/>
      <c r="B174" s="32"/>
      <c r="C174" s="32"/>
      <c r="D174" s="32"/>
      <c r="E174" s="32"/>
      <c r="F174" s="32"/>
      <c r="G174" s="32"/>
    </row>
    <row r="175" spans="1:7" ht="15" customHeight="1">
      <c r="A175" s="30"/>
      <c r="B175" s="32"/>
      <c r="C175" s="32"/>
      <c r="D175" s="32"/>
      <c r="E175" s="32"/>
      <c r="F175" s="32"/>
      <c r="G175" s="32"/>
    </row>
    <row r="176" spans="1:7" ht="15" customHeight="1">
      <c r="A176" s="30"/>
      <c r="B176" s="32"/>
      <c r="C176" s="32"/>
      <c r="D176" s="32"/>
      <c r="E176" s="32"/>
      <c r="F176" s="32"/>
      <c r="G176" s="32"/>
    </row>
    <row r="177" spans="1:7" ht="15" customHeight="1">
      <c r="A177" s="30"/>
      <c r="B177" s="32"/>
      <c r="C177" s="32"/>
      <c r="D177" s="32"/>
      <c r="E177" s="32"/>
      <c r="F177" s="32"/>
      <c r="G177" s="32"/>
    </row>
    <row r="178" spans="1:7" ht="15" customHeight="1">
      <c r="A178" s="30"/>
      <c r="B178" s="32"/>
      <c r="C178" s="32"/>
      <c r="D178" s="32"/>
      <c r="E178" s="32"/>
      <c r="F178" s="32"/>
      <c r="G178" s="32"/>
    </row>
    <row r="179" spans="1:7" ht="15" customHeight="1">
      <c r="A179" s="30"/>
      <c r="B179" s="32"/>
      <c r="C179" s="32"/>
      <c r="D179" s="32"/>
      <c r="E179" s="32"/>
      <c r="F179" s="32"/>
      <c r="G179" s="32"/>
    </row>
    <row r="180" spans="1:7" ht="15" customHeight="1">
      <c r="A180" s="30"/>
      <c r="B180" s="32"/>
      <c r="C180" s="32"/>
      <c r="D180" s="32"/>
      <c r="E180" s="32"/>
      <c r="F180" s="32"/>
      <c r="G180" s="32"/>
    </row>
    <row r="181" spans="1:7" ht="15" customHeight="1">
      <c r="A181" s="30"/>
      <c r="B181" s="32"/>
      <c r="C181" s="32"/>
      <c r="D181" s="32"/>
      <c r="E181" s="32"/>
      <c r="F181" s="32"/>
      <c r="G181" s="32"/>
    </row>
    <row r="182" spans="1:7" ht="15" customHeight="1">
      <c r="A182" s="30"/>
      <c r="B182" s="32"/>
      <c r="C182" s="32"/>
      <c r="D182" s="32"/>
      <c r="E182" s="32"/>
      <c r="F182" s="32"/>
      <c r="G182" s="32"/>
    </row>
    <row r="183" spans="1:7" ht="15" customHeight="1">
      <c r="A183" s="30"/>
      <c r="B183" s="32"/>
      <c r="C183" s="32"/>
      <c r="D183" s="32"/>
      <c r="E183" s="32"/>
      <c r="F183" s="32"/>
      <c r="G183" s="32"/>
    </row>
    <row r="184" spans="1:7" ht="15" customHeight="1">
      <c r="A184" s="30"/>
      <c r="B184" s="32"/>
      <c r="C184" s="32"/>
      <c r="D184" s="32"/>
      <c r="E184" s="32"/>
      <c r="F184" s="32"/>
      <c r="G184" s="32"/>
    </row>
    <row r="185" spans="1:7" ht="15" customHeight="1">
      <c r="A185" s="30"/>
      <c r="B185" s="32"/>
      <c r="C185" s="32"/>
      <c r="D185" s="32"/>
      <c r="E185" s="32"/>
      <c r="F185" s="32"/>
      <c r="G185" s="32"/>
    </row>
    <row r="186" spans="1:7" ht="15" customHeight="1">
      <c r="A186" s="30"/>
      <c r="B186" s="32"/>
      <c r="C186" s="32"/>
      <c r="D186" s="32"/>
      <c r="E186" s="32"/>
      <c r="F186" s="32"/>
      <c r="G186" s="32"/>
    </row>
    <row r="187" spans="1:7" ht="15" customHeight="1">
      <c r="A187" s="30"/>
      <c r="B187" s="32"/>
      <c r="C187" s="32"/>
      <c r="D187" s="32"/>
      <c r="E187" s="32"/>
      <c r="F187" s="32"/>
      <c r="G187" s="32"/>
    </row>
    <row r="188" spans="1:7" ht="15" customHeight="1">
      <c r="A188" s="30"/>
      <c r="B188" s="32"/>
      <c r="C188" s="32"/>
      <c r="D188" s="32"/>
      <c r="E188" s="32"/>
      <c r="F188" s="32"/>
      <c r="G188" s="32"/>
    </row>
    <row r="189" spans="1:7" ht="15" customHeight="1">
      <c r="A189" s="30"/>
      <c r="B189" s="32"/>
      <c r="C189" s="32"/>
      <c r="D189" s="32"/>
      <c r="E189" s="32"/>
      <c r="F189" s="32"/>
      <c r="G189" s="32"/>
    </row>
    <row r="190" spans="1:7" ht="15" customHeight="1">
      <c r="A190" s="30"/>
      <c r="B190" s="32"/>
      <c r="C190" s="32"/>
      <c r="D190" s="32"/>
      <c r="E190" s="32"/>
      <c r="F190" s="32"/>
      <c r="G190" s="32"/>
    </row>
    <row r="191" spans="1:7" ht="15" customHeight="1">
      <c r="A191" s="30"/>
      <c r="B191" s="32"/>
      <c r="C191" s="32"/>
      <c r="D191" s="32"/>
      <c r="E191" s="32"/>
      <c r="F191" s="32"/>
      <c r="G191" s="32"/>
    </row>
    <row r="192" spans="1:7" ht="15" customHeight="1">
      <c r="A192" s="30"/>
      <c r="B192" s="32"/>
      <c r="C192" s="32"/>
      <c r="D192" s="32"/>
      <c r="E192" s="32"/>
      <c r="F192" s="32"/>
      <c r="G192" s="32"/>
    </row>
    <row r="193" spans="1:7" ht="15" customHeight="1">
      <c r="A193" s="30"/>
      <c r="B193" s="32"/>
      <c r="C193" s="32"/>
      <c r="D193" s="32"/>
      <c r="E193" s="32"/>
      <c r="F193" s="32"/>
      <c r="G193" s="32"/>
    </row>
    <row r="194" spans="1:7" ht="15" customHeight="1">
      <c r="A194" s="30"/>
      <c r="B194" s="32"/>
      <c r="C194" s="32"/>
      <c r="D194" s="32"/>
      <c r="E194" s="32"/>
      <c r="F194" s="32"/>
      <c r="G194" s="32"/>
    </row>
    <row r="195" spans="1:7" ht="15" customHeight="1">
      <c r="A195" s="30"/>
      <c r="B195" s="32"/>
      <c r="C195" s="32"/>
      <c r="D195" s="32"/>
      <c r="E195" s="32"/>
      <c r="F195" s="32"/>
      <c r="G195" s="32"/>
    </row>
    <row r="196" spans="1:7" ht="15" customHeight="1">
      <c r="A196" s="30"/>
      <c r="B196" s="32"/>
      <c r="C196" s="32"/>
      <c r="D196" s="32"/>
      <c r="E196" s="32"/>
      <c r="F196" s="32"/>
      <c r="G196" s="32"/>
    </row>
    <row r="197" spans="1:7" ht="15" customHeight="1">
      <c r="A197" s="30"/>
      <c r="B197" s="32"/>
      <c r="C197" s="32"/>
      <c r="D197" s="32"/>
      <c r="E197" s="32"/>
      <c r="F197" s="32"/>
      <c r="G197" s="32"/>
    </row>
    <row r="198" spans="1:7" ht="15" customHeight="1">
      <c r="A198" s="30"/>
      <c r="B198" s="32"/>
      <c r="C198" s="32"/>
      <c r="D198" s="32"/>
      <c r="E198" s="32"/>
      <c r="F198" s="32"/>
      <c r="G198" s="32"/>
    </row>
    <row r="199" spans="1:7" ht="15" customHeight="1">
      <c r="A199" s="30"/>
      <c r="B199" s="32"/>
      <c r="C199" s="32"/>
      <c r="D199" s="32"/>
      <c r="E199" s="32"/>
      <c r="F199" s="32"/>
      <c r="G199" s="32"/>
    </row>
    <row r="200" spans="1:7" ht="15" customHeight="1">
      <c r="A200" s="30"/>
      <c r="B200" s="32"/>
      <c r="C200" s="32"/>
      <c r="D200" s="32"/>
      <c r="E200" s="32"/>
      <c r="F200" s="32"/>
      <c r="G200" s="32"/>
    </row>
    <row r="201" spans="1:7" ht="15" customHeight="1">
      <c r="A201" s="30"/>
      <c r="B201" s="32"/>
      <c r="C201" s="32"/>
      <c r="D201" s="32"/>
      <c r="E201" s="32"/>
      <c r="F201" s="32"/>
      <c r="G201" s="32"/>
    </row>
    <row r="202" spans="1:7" ht="15" customHeight="1">
      <c r="A202" s="30"/>
      <c r="B202" s="32"/>
      <c r="C202" s="32"/>
      <c r="D202" s="32"/>
      <c r="E202" s="32"/>
      <c r="F202" s="32"/>
      <c r="G202" s="32"/>
    </row>
    <row r="203" spans="1:7" ht="15" customHeight="1">
      <c r="A203" s="30"/>
      <c r="B203" s="32"/>
      <c r="C203" s="32"/>
      <c r="D203" s="32"/>
      <c r="E203" s="32"/>
      <c r="F203" s="32"/>
      <c r="G203" s="32"/>
    </row>
    <row r="204" spans="1:7" ht="15" customHeight="1">
      <c r="A204" s="30"/>
      <c r="B204" s="32"/>
      <c r="C204" s="32"/>
      <c r="D204" s="32"/>
      <c r="E204" s="32"/>
      <c r="F204" s="32"/>
      <c r="G204" s="32"/>
    </row>
    <row r="205" spans="1:7" ht="15" customHeight="1">
      <c r="A205" s="30"/>
      <c r="B205" s="32"/>
      <c r="C205" s="32"/>
      <c r="D205" s="32"/>
      <c r="E205" s="32"/>
      <c r="F205" s="32"/>
      <c r="G205" s="32"/>
    </row>
    <row r="206" spans="1:7" ht="15" customHeight="1">
      <c r="A206" s="30"/>
      <c r="B206" s="32"/>
      <c r="C206" s="32"/>
      <c r="D206" s="32"/>
      <c r="E206" s="32"/>
      <c r="F206" s="32"/>
      <c r="G206" s="32"/>
    </row>
    <row r="207" spans="1:7" ht="15" customHeight="1">
      <c r="A207" s="30"/>
      <c r="B207" s="32"/>
      <c r="C207" s="32"/>
      <c r="D207" s="32"/>
      <c r="E207" s="32"/>
      <c r="F207" s="32"/>
      <c r="G207" s="32"/>
    </row>
    <row r="208" spans="1:7" ht="15" customHeight="1">
      <c r="A208" s="30"/>
      <c r="B208" s="32"/>
      <c r="C208" s="32"/>
      <c r="D208" s="32"/>
      <c r="E208" s="32"/>
      <c r="F208" s="32"/>
      <c r="G208" s="32"/>
    </row>
    <row r="209" spans="1:7" ht="15" customHeight="1">
      <c r="A209" s="30"/>
      <c r="B209" s="32"/>
      <c r="C209" s="32"/>
      <c r="D209" s="32"/>
      <c r="E209" s="32"/>
      <c r="F209" s="32"/>
      <c r="G209" s="32"/>
    </row>
    <row r="210" spans="1:7" ht="15" customHeight="1">
      <c r="A210" s="30"/>
      <c r="B210" s="32"/>
      <c r="C210" s="32"/>
      <c r="D210" s="32"/>
      <c r="E210" s="32"/>
      <c r="F210" s="32"/>
      <c r="G210" s="32"/>
    </row>
    <row r="211" spans="1:7" ht="15" customHeight="1">
      <c r="A211" s="30"/>
      <c r="B211" s="32"/>
      <c r="C211" s="32"/>
      <c r="D211" s="32"/>
      <c r="E211" s="32"/>
      <c r="F211" s="32"/>
      <c r="G211" s="32"/>
    </row>
    <row r="212" spans="1:7" ht="15" customHeight="1">
      <c r="A212" s="30"/>
      <c r="B212" s="32"/>
      <c r="C212" s="32"/>
      <c r="D212" s="32"/>
      <c r="E212" s="32"/>
      <c r="F212" s="32"/>
      <c r="G212" s="32"/>
    </row>
    <row r="213" spans="1:7" ht="15" customHeight="1">
      <c r="A213" s="30"/>
      <c r="B213" s="32"/>
      <c r="C213" s="32"/>
      <c r="D213" s="32"/>
      <c r="E213" s="32"/>
      <c r="F213" s="32"/>
      <c r="G213" s="32"/>
    </row>
    <row r="214" spans="1:7" ht="15" customHeight="1">
      <c r="A214" s="30"/>
      <c r="B214" s="32"/>
      <c r="C214" s="32"/>
      <c r="D214" s="32"/>
      <c r="E214" s="32"/>
      <c r="F214" s="32"/>
      <c r="G214" s="32"/>
    </row>
    <row r="215" spans="1:7" ht="15" customHeight="1">
      <c r="A215" s="30"/>
      <c r="B215" s="32"/>
      <c r="C215" s="32"/>
      <c r="D215" s="32"/>
      <c r="E215" s="32"/>
      <c r="F215" s="32"/>
      <c r="G215" s="32"/>
    </row>
    <row r="216" spans="1:7" ht="15" customHeight="1">
      <c r="A216" s="30"/>
      <c r="B216" s="32"/>
      <c r="C216" s="32"/>
      <c r="D216" s="32"/>
      <c r="E216" s="32"/>
      <c r="F216" s="32"/>
      <c r="G216" s="32"/>
    </row>
    <row r="217" spans="1:7" ht="15" customHeight="1">
      <c r="A217" s="30"/>
      <c r="B217" s="32"/>
      <c r="C217" s="32"/>
      <c r="D217" s="32"/>
      <c r="E217" s="32"/>
      <c r="F217" s="32"/>
      <c r="G217" s="32"/>
    </row>
    <row r="218" spans="1:7" ht="15" customHeight="1">
      <c r="A218" s="30"/>
      <c r="B218" s="32"/>
      <c r="C218" s="32"/>
      <c r="D218" s="32"/>
      <c r="E218" s="32"/>
      <c r="F218" s="32"/>
      <c r="G218" s="32"/>
    </row>
    <row r="219" spans="1:7" ht="15" customHeight="1">
      <c r="A219" s="30"/>
      <c r="B219" s="32"/>
      <c r="C219" s="32"/>
      <c r="D219" s="32"/>
      <c r="E219" s="32"/>
      <c r="F219" s="32"/>
      <c r="G219" s="32"/>
    </row>
    <row r="220" spans="1:7" ht="15" customHeight="1">
      <c r="A220" s="30"/>
      <c r="B220" s="32"/>
      <c r="C220" s="32"/>
      <c r="D220" s="32"/>
      <c r="E220" s="32"/>
      <c r="F220" s="32"/>
      <c r="G220" s="32"/>
    </row>
    <row r="221" spans="1:7" ht="15" customHeight="1">
      <c r="A221" s="30"/>
      <c r="B221" s="32"/>
      <c r="C221" s="32"/>
      <c r="D221" s="32"/>
      <c r="E221" s="32"/>
      <c r="F221" s="32"/>
      <c r="G221" s="32"/>
    </row>
    <row r="222" spans="1:7" ht="15" customHeight="1">
      <c r="A222" s="30"/>
      <c r="B222" s="32"/>
      <c r="C222" s="32"/>
      <c r="D222" s="32"/>
      <c r="E222" s="32"/>
      <c r="F222" s="32"/>
      <c r="G222" s="32"/>
    </row>
    <row r="223" spans="1:7" ht="15" customHeight="1">
      <c r="A223" s="30"/>
      <c r="B223" s="32"/>
      <c r="C223" s="32"/>
      <c r="D223" s="32"/>
      <c r="E223" s="32"/>
      <c r="F223" s="32"/>
      <c r="G223" s="32"/>
    </row>
    <row r="224" spans="1:7" ht="15" customHeight="1">
      <c r="A224" s="30"/>
      <c r="B224" s="32"/>
      <c r="C224" s="32"/>
      <c r="D224" s="32"/>
      <c r="E224" s="32"/>
      <c r="F224" s="32"/>
      <c r="G224" s="32"/>
    </row>
    <row r="225" spans="1:7" ht="15" customHeight="1">
      <c r="A225" s="30"/>
      <c r="B225" s="32"/>
      <c r="C225" s="32"/>
      <c r="D225" s="32"/>
      <c r="E225" s="32"/>
      <c r="F225" s="32"/>
      <c r="G225" s="32"/>
    </row>
    <row r="226" spans="1:7" ht="15" customHeight="1">
      <c r="A226" s="30"/>
      <c r="B226" s="32"/>
      <c r="C226" s="32"/>
      <c r="D226" s="32"/>
      <c r="E226" s="32"/>
      <c r="F226" s="32"/>
      <c r="G226" s="32"/>
    </row>
    <row r="227" spans="1:7" ht="15" customHeight="1">
      <c r="A227" s="30"/>
      <c r="B227" s="32"/>
      <c r="C227" s="32"/>
      <c r="D227" s="32"/>
      <c r="E227" s="32"/>
      <c r="F227" s="32"/>
      <c r="G227" s="32"/>
    </row>
    <row r="228" spans="1:7" ht="15" customHeight="1">
      <c r="A228" s="30"/>
      <c r="B228" s="32"/>
      <c r="C228" s="32"/>
      <c r="D228" s="32"/>
      <c r="E228" s="32"/>
      <c r="F228" s="32"/>
      <c r="G228" s="32"/>
    </row>
    <row r="229" spans="1:7" ht="15" customHeight="1">
      <c r="A229" s="30"/>
      <c r="B229" s="32"/>
      <c r="C229" s="32"/>
      <c r="D229" s="32"/>
      <c r="E229" s="32"/>
      <c r="F229" s="32"/>
      <c r="G229" s="32"/>
    </row>
    <row r="230" spans="1:7" ht="15" customHeight="1">
      <c r="A230" s="30"/>
      <c r="B230" s="32"/>
      <c r="C230" s="32"/>
      <c r="D230" s="32"/>
      <c r="E230" s="32"/>
      <c r="F230" s="32"/>
      <c r="G230" s="32"/>
    </row>
    <row r="231" spans="1:7" ht="15" customHeight="1">
      <c r="A231" s="30"/>
      <c r="B231" s="32"/>
      <c r="C231" s="32"/>
      <c r="D231" s="32"/>
      <c r="E231" s="32"/>
      <c r="F231" s="32"/>
      <c r="G231" s="32"/>
    </row>
    <row r="232" spans="1:7" ht="15" customHeight="1">
      <c r="A232" s="30"/>
      <c r="B232" s="32"/>
      <c r="C232" s="32"/>
      <c r="D232" s="32"/>
      <c r="E232" s="32"/>
      <c r="F232" s="32"/>
      <c r="G232" s="32"/>
    </row>
    <row r="233" spans="1:7" ht="15" customHeight="1">
      <c r="A233" s="30"/>
      <c r="B233" s="32"/>
      <c r="C233" s="32"/>
      <c r="D233" s="32"/>
      <c r="E233" s="32"/>
      <c r="F233" s="32"/>
      <c r="G233" s="32"/>
    </row>
    <row r="234" spans="1:7" ht="15" customHeight="1">
      <c r="A234" s="30"/>
      <c r="B234" s="32"/>
      <c r="C234" s="32"/>
      <c r="D234" s="32"/>
      <c r="E234" s="32"/>
      <c r="F234" s="32"/>
      <c r="G234" s="32"/>
    </row>
    <row r="235" spans="1:7" ht="15" customHeight="1">
      <c r="A235" s="30"/>
      <c r="B235" s="32"/>
      <c r="C235" s="32"/>
      <c r="D235" s="32"/>
      <c r="E235" s="32"/>
      <c r="F235" s="32"/>
      <c r="G235" s="32"/>
    </row>
    <row r="236" spans="1:7" ht="15" customHeight="1">
      <c r="A236" s="30"/>
      <c r="B236" s="32"/>
      <c r="C236" s="32"/>
      <c r="D236" s="32"/>
      <c r="E236" s="32"/>
      <c r="F236" s="32"/>
      <c r="G236" s="32"/>
    </row>
    <row r="237" spans="1:7" ht="15" customHeight="1">
      <c r="A237" s="30"/>
      <c r="B237" s="32"/>
      <c r="C237" s="32"/>
      <c r="D237" s="32"/>
      <c r="E237" s="32"/>
      <c r="F237" s="32"/>
      <c r="G237" s="32"/>
    </row>
    <row r="238" spans="1:7" ht="15" customHeight="1">
      <c r="A238" s="30"/>
      <c r="B238" s="32"/>
      <c r="C238" s="32"/>
      <c r="D238" s="32"/>
      <c r="E238" s="32"/>
      <c r="F238" s="32"/>
      <c r="G238" s="32"/>
    </row>
    <row r="239" spans="1:7" ht="15" customHeight="1">
      <c r="A239" s="30"/>
      <c r="B239" s="32"/>
      <c r="C239" s="32"/>
      <c r="D239" s="32"/>
      <c r="E239" s="32"/>
      <c r="F239" s="32"/>
      <c r="G239" s="32"/>
    </row>
    <row r="240" spans="1:7" ht="15" customHeight="1">
      <c r="A240" s="30"/>
      <c r="B240" s="32"/>
      <c r="C240" s="32"/>
      <c r="D240" s="32"/>
      <c r="E240" s="32"/>
      <c r="F240" s="32"/>
      <c r="G240" s="32"/>
    </row>
    <row r="241" spans="1:7" ht="15" customHeight="1">
      <c r="A241" s="30"/>
      <c r="B241" s="32"/>
      <c r="C241" s="32"/>
      <c r="D241" s="32"/>
      <c r="E241" s="32"/>
      <c r="F241" s="32"/>
      <c r="G241" s="32"/>
    </row>
    <row r="242" spans="1:7" ht="15" customHeight="1">
      <c r="A242" s="30"/>
      <c r="B242" s="32"/>
      <c r="C242" s="32"/>
      <c r="D242" s="32"/>
      <c r="E242" s="32"/>
      <c r="F242" s="32"/>
      <c r="G242" s="32"/>
    </row>
    <row r="243" spans="1:7" ht="15" customHeight="1">
      <c r="A243" s="30"/>
      <c r="B243" s="32"/>
      <c r="C243" s="32"/>
      <c r="D243" s="32"/>
      <c r="E243" s="32"/>
      <c r="F243" s="32"/>
      <c r="G243" s="32"/>
    </row>
    <row r="244" spans="1:7" ht="15" customHeight="1">
      <c r="A244" s="30"/>
      <c r="B244" s="32"/>
      <c r="C244" s="32"/>
      <c r="D244" s="32"/>
      <c r="E244" s="32"/>
      <c r="F244" s="32"/>
      <c r="G244" s="32"/>
    </row>
    <row r="245" spans="1:7" ht="15" customHeight="1">
      <c r="A245" s="30"/>
      <c r="B245" s="32"/>
      <c r="C245" s="32"/>
      <c r="D245" s="32"/>
      <c r="E245" s="32"/>
      <c r="F245" s="32"/>
      <c r="G245" s="32"/>
    </row>
    <row r="246" spans="1:7" ht="15" customHeight="1">
      <c r="A246" s="30"/>
      <c r="B246" s="32"/>
      <c r="C246" s="32"/>
      <c r="D246" s="32"/>
      <c r="E246" s="32"/>
      <c r="F246" s="32"/>
      <c r="G246" s="32"/>
    </row>
    <row r="247" spans="1:7" ht="15" customHeight="1">
      <c r="A247" s="30"/>
      <c r="B247" s="32"/>
      <c r="C247" s="32"/>
      <c r="D247" s="32"/>
      <c r="E247" s="32"/>
      <c r="F247" s="32"/>
      <c r="G247" s="32"/>
    </row>
    <row r="248" spans="1:7" ht="15" customHeight="1">
      <c r="A248" s="30"/>
      <c r="B248" s="32"/>
      <c r="C248" s="32"/>
      <c r="D248" s="32"/>
      <c r="E248" s="32"/>
      <c r="F248" s="32"/>
      <c r="G248" s="32"/>
    </row>
    <row r="249" spans="1:7" ht="15" customHeight="1">
      <c r="A249" s="30"/>
      <c r="B249" s="32"/>
      <c r="C249" s="32"/>
      <c r="D249" s="32"/>
      <c r="E249" s="32"/>
      <c r="F249" s="32"/>
      <c r="G249" s="32"/>
    </row>
    <row r="250" spans="1:7" ht="15" customHeight="1">
      <c r="A250" s="30"/>
      <c r="B250" s="32"/>
      <c r="C250" s="32"/>
      <c r="D250" s="32"/>
      <c r="E250" s="32"/>
      <c r="F250" s="32"/>
      <c r="G250" s="32"/>
    </row>
    <row r="251" spans="1:7" ht="15" customHeight="1">
      <c r="A251" s="30"/>
      <c r="B251" s="32"/>
      <c r="C251" s="32"/>
      <c r="D251" s="32"/>
      <c r="E251" s="32"/>
      <c r="F251" s="32"/>
      <c r="G251" s="32"/>
    </row>
    <row r="252" spans="1:7" ht="15" customHeight="1">
      <c r="A252" s="30"/>
      <c r="B252" s="32"/>
      <c r="C252" s="32"/>
      <c r="D252" s="32"/>
      <c r="E252" s="32"/>
      <c r="F252" s="32"/>
      <c r="G252" s="32"/>
    </row>
    <row r="253" spans="1:7" ht="15" customHeight="1">
      <c r="A253" s="30"/>
      <c r="B253" s="32"/>
      <c r="C253" s="32"/>
      <c r="D253" s="32"/>
      <c r="E253" s="32"/>
      <c r="F253" s="32"/>
      <c r="G253" s="32"/>
    </row>
    <row r="254" spans="1:7" ht="15" customHeight="1">
      <c r="A254" s="30"/>
      <c r="B254" s="32"/>
      <c r="C254" s="32"/>
      <c r="D254" s="32"/>
      <c r="E254" s="32"/>
      <c r="F254" s="32"/>
      <c r="G254" s="32"/>
    </row>
    <row r="255" spans="1:7" ht="15" customHeight="1">
      <c r="A255" s="30"/>
      <c r="B255" s="32"/>
      <c r="C255" s="32"/>
      <c r="D255" s="32"/>
      <c r="E255" s="32"/>
      <c r="F255" s="32"/>
      <c r="G255" s="32"/>
    </row>
    <row r="256" spans="1:7" ht="15" customHeight="1">
      <c r="A256" s="30"/>
      <c r="B256" s="32"/>
      <c r="C256" s="32"/>
      <c r="D256" s="32"/>
      <c r="E256" s="32"/>
      <c r="F256" s="32"/>
      <c r="G256" s="32"/>
    </row>
    <row r="257" spans="1:7" ht="15" customHeight="1">
      <c r="A257" s="30"/>
      <c r="B257" s="32"/>
      <c r="C257" s="32"/>
      <c r="D257" s="32"/>
      <c r="E257" s="32"/>
      <c r="F257" s="32"/>
      <c r="G257" s="32"/>
    </row>
    <row r="258" spans="1:7" ht="15" customHeight="1">
      <c r="A258" s="30"/>
      <c r="B258" s="32"/>
      <c r="C258" s="32"/>
      <c r="D258" s="32"/>
      <c r="E258" s="32"/>
      <c r="F258" s="32"/>
      <c r="G258" s="32"/>
    </row>
    <row r="259" spans="1:7" ht="15" customHeight="1">
      <c r="A259" s="30"/>
      <c r="B259" s="32"/>
      <c r="C259" s="32"/>
      <c r="D259" s="32"/>
      <c r="E259" s="32"/>
      <c r="F259" s="32"/>
      <c r="G259" s="32"/>
    </row>
    <row r="260" spans="1:7" ht="15" customHeight="1">
      <c r="A260" s="30"/>
      <c r="B260" s="32"/>
      <c r="C260" s="32"/>
      <c r="D260" s="32"/>
      <c r="E260" s="32"/>
      <c r="F260" s="32"/>
      <c r="G260" s="32"/>
    </row>
    <row r="261" spans="1:7" ht="15" customHeight="1">
      <c r="A261" s="30"/>
      <c r="B261" s="32"/>
      <c r="C261" s="32"/>
      <c r="D261" s="32"/>
      <c r="E261" s="32"/>
      <c r="F261" s="32"/>
      <c r="G261" s="32"/>
    </row>
    <row r="262" spans="1:7" ht="15" customHeight="1">
      <c r="A262" s="30"/>
      <c r="B262" s="32"/>
      <c r="C262" s="32"/>
      <c r="D262" s="32"/>
      <c r="E262" s="32"/>
      <c r="F262" s="32"/>
      <c r="G262" s="32"/>
    </row>
    <row r="263" spans="1:7" ht="15" customHeight="1">
      <c r="A263" s="30"/>
      <c r="B263" s="32"/>
      <c r="C263" s="32"/>
      <c r="D263" s="32"/>
      <c r="E263" s="32"/>
      <c r="F263" s="32"/>
      <c r="G263" s="32"/>
    </row>
    <row r="264" spans="1:7" ht="15" customHeight="1">
      <c r="A264" s="30"/>
      <c r="B264" s="32"/>
      <c r="C264" s="32"/>
      <c r="D264" s="32"/>
      <c r="E264" s="32"/>
      <c r="F264" s="32"/>
      <c r="G264" s="32"/>
    </row>
    <row r="265" spans="1:7" ht="15" customHeight="1">
      <c r="A265" s="30"/>
      <c r="B265" s="32"/>
      <c r="C265" s="32"/>
      <c r="D265" s="32"/>
      <c r="E265" s="32"/>
      <c r="F265" s="32"/>
      <c r="G265" s="32"/>
    </row>
    <row r="266" spans="1:7" ht="15" customHeight="1">
      <c r="A266" s="30"/>
      <c r="B266" s="32"/>
      <c r="C266" s="32"/>
      <c r="D266" s="32"/>
      <c r="E266" s="32"/>
      <c r="F266" s="32"/>
      <c r="G266" s="32"/>
    </row>
    <row r="267" spans="1:7" ht="15" customHeight="1">
      <c r="A267" s="30"/>
      <c r="B267" s="32"/>
      <c r="C267" s="32"/>
      <c r="D267" s="32"/>
      <c r="E267" s="32"/>
      <c r="F267" s="32"/>
      <c r="G267" s="32"/>
    </row>
    <row r="268" spans="1:7" ht="15" customHeight="1">
      <c r="A268" s="30"/>
      <c r="B268" s="32"/>
      <c r="C268" s="32"/>
      <c r="D268" s="32"/>
      <c r="E268" s="32"/>
      <c r="F268" s="32"/>
      <c r="G268" s="32"/>
    </row>
    <row r="269" spans="1:7" ht="15" customHeight="1">
      <c r="A269" s="30"/>
      <c r="B269" s="32"/>
      <c r="C269" s="32"/>
      <c r="D269" s="32"/>
      <c r="E269" s="32"/>
      <c r="F269" s="32"/>
      <c r="G269" s="32"/>
    </row>
    <row r="270" spans="1:7" ht="15" customHeight="1">
      <c r="A270" s="30"/>
      <c r="B270" s="32"/>
      <c r="C270" s="32"/>
      <c r="D270" s="32"/>
      <c r="E270" s="32"/>
      <c r="F270" s="32"/>
      <c r="G270" s="32"/>
    </row>
    <row r="271" spans="1:7" ht="15" customHeight="1">
      <c r="A271" s="30"/>
      <c r="B271" s="32"/>
      <c r="C271" s="32"/>
      <c r="D271" s="32"/>
      <c r="E271" s="32"/>
      <c r="F271" s="32"/>
      <c r="G271" s="32"/>
    </row>
    <row r="272" spans="1:7" ht="15" customHeight="1">
      <c r="A272" s="30"/>
      <c r="B272" s="32"/>
      <c r="C272" s="32"/>
      <c r="D272" s="32"/>
      <c r="E272" s="32"/>
      <c r="F272" s="32"/>
      <c r="G272" s="32"/>
    </row>
    <row r="273" spans="1:7" ht="15" customHeight="1">
      <c r="A273" s="30"/>
      <c r="B273" s="32"/>
      <c r="C273" s="32"/>
      <c r="D273" s="32"/>
      <c r="E273" s="32"/>
      <c r="F273" s="32"/>
      <c r="G273" s="32"/>
    </row>
    <row r="274" spans="1:7" ht="15" customHeight="1">
      <c r="A274" s="30"/>
      <c r="B274" s="32"/>
      <c r="C274" s="32"/>
      <c r="D274" s="32"/>
      <c r="E274" s="32"/>
      <c r="F274" s="32"/>
      <c r="G274" s="32"/>
    </row>
    <row r="275" spans="1:7" ht="15" customHeight="1">
      <c r="A275" s="30"/>
      <c r="B275" s="32"/>
      <c r="C275" s="32"/>
      <c r="D275" s="32"/>
      <c r="E275" s="32"/>
      <c r="F275" s="32"/>
      <c r="G275" s="32"/>
    </row>
    <row r="276" spans="1:7" ht="15" customHeight="1">
      <c r="A276" s="30"/>
      <c r="B276" s="32"/>
      <c r="C276" s="32"/>
      <c r="D276" s="32"/>
      <c r="E276" s="32"/>
      <c r="F276" s="32"/>
      <c r="G276" s="32"/>
    </row>
    <row r="277" spans="1:7" ht="15" customHeight="1">
      <c r="A277" s="30"/>
      <c r="B277" s="32"/>
      <c r="C277" s="32"/>
      <c r="D277" s="32"/>
      <c r="E277" s="32"/>
      <c r="F277" s="32"/>
      <c r="G277" s="32"/>
    </row>
    <row r="278" spans="1:7" ht="15" customHeight="1">
      <c r="A278" s="30"/>
      <c r="B278" s="32"/>
      <c r="C278" s="32"/>
      <c r="D278" s="32"/>
      <c r="E278" s="32"/>
      <c r="F278" s="32"/>
      <c r="G278" s="32"/>
    </row>
    <row r="279" spans="1:7" ht="15" customHeight="1">
      <c r="A279" s="30"/>
      <c r="B279" s="32"/>
      <c r="C279" s="32"/>
      <c r="D279" s="32"/>
      <c r="E279" s="32"/>
      <c r="F279" s="32"/>
      <c r="G279" s="32"/>
    </row>
    <row r="280" spans="1:7" ht="15" customHeight="1">
      <c r="A280" s="30"/>
      <c r="B280" s="32"/>
      <c r="C280" s="32"/>
      <c r="D280" s="32"/>
      <c r="E280" s="32"/>
      <c r="F280" s="32"/>
      <c r="G280" s="32"/>
    </row>
    <row r="281" spans="1:7" ht="15" customHeight="1">
      <c r="A281" s="30"/>
      <c r="B281" s="32"/>
      <c r="C281" s="32"/>
      <c r="D281" s="32"/>
      <c r="E281" s="32"/>
      <c r="F281" s="32"/>
      <c r="G281" s="32"/>
    </row>
    <row r="282" spans="1:7" ht="15" customHeight="1">
      <c r="A282" s="30"/>
      <c r="B282" s="32"/>
      <c r="C282" s="32"/>
      <c r="D282" s="32"/>
      <c r="E282" s="32"/>
      <c r="F282" s="32"/>
      <c r="G282" s="32"/>
    </row>
    <row r="283" spans="1:7" ht="15" customHeight="1">
      <c r="A283" s="30"/>
      <c r="B283" s="32"/>
      <c r="C283" s="32"/>
      <c r="D283" s="32"/>
      <c r="E283" s="32"/>
      <c r="F283" s="32"/>
      <c r="G283" s="32"/>
    </row>
    <row r="284" spans="1:7" ht="15" customHeight="1">
      <c r="A284" s="30"/>
      <c r="B284" s="32"/>
      <c r="C284" s="32"/>
      <c r="D284" s="32"/>
      <c r="E284" s="32"/>
      <c r="F284" s="32"/>
      <c r="G284" s="32"/>
    </row>
    <row r="285" spans="1:7" ht="15" customHeight="1">
      <c r="A285" s="30"/>
      <c r="B285" s="32"/>
      <c r="C285" s="32"/>
      <c r="D285" s="32"/>
      <c r="E285" s="32"/>
      <c r="F285" s="32"/>
      <c r="G285" s="32"/>
    </row>
    <row r="286" spans="1:7" ht="15" customHeight="1">
      <c r="A286" s="30"/>
      <c r="B286" s="32"/>
      <c r="C286" s="32"/>
      <c r="D286" s="32"/>
      <c r="E286" s="32"/>
      <c r="F286" s="32"/>
      <c r="G286" s="32"/>
    </row>
    <row r="287" spans="1:7" ht="15" customHeight="1">
      <c r="A287" s="30"/>
      <c r="B287" s="32"/>
      <c r="C287" s="32"/>
      <c r="D287" s="32"/>
      <c r="E287" s="32"/>
      <c r="F287" s="32"/>
      <c r="G287" s="32"/>
    </row>
    <row r="288" spans="1:7" ht="15" customHeight="1">
      <c r="A288" s="30"/>
      <c r="B288" s="32"/>
      <c r="C288" s="32"/>
      <c r="D288" s="32"/>
      <c r="E288" s="32"/>
      <c r="F288" s="32"/>
      <c r="G288" s="32"/>
    </row>
    <row r="289" spans="1:7" ht="15" customHeight="1">
      <c r="A289" s="30"/>
      <c r="B289" s="32"/>
      <c r="C289" s="32"/>
      <c r="D289" s="32"/>
      <c r="E289" s="32"/>
      <c r="F289" s="32"/>
      <c r="G289" s="32"/>
    </row>
    <row r="290" spans="1:7" ht="15" customHeight="1">
      <c r="A290" s="30"/>
      <c r="B290" s="32"/>
      <c r="C290" s="32"/>
      <c r="D290" s="32"/>
      <c r="E290" s="32"/>
      <c r="F290" s="32"/>
      <c r="G290" s="32"/>
    </row>
    <row r="291" spans="1:7" ht="15" customHeight="1">
      <c r="A291" s="30"/>
      <c r="B291" s="32"/>
      <c r="C291" s="32"/>
      <c r="D291" s="32"/>
      <c r="E291" s="32"/>
      <c r="F291" s="32"/>
      <c r="G291" s="32"/>
    </row>
    <row r="292" spans="1:7" ht="15" customHeight="1">
      <c r="A292" s="30"/>
      <c r="B292" s="32"/>
      <c r="C292" s="32"/>
      <c r="D292" s="32"/>
      <c r="E292" s="32"/>
      <c r="F292" s="32"/>
      <c r="G292" s="32"/>
    </row>
    <row r="293" spans="1:7" ht="15" customHeight="1">
      <c r="A293" s="30"/>
      <c r="B293" s="32"/>
      <c r="C293" s="32"/>
      <c r="D293" s="32"/>
      <c r="E293" s="32"/>
      <c r="F293" s="32"/>
      <c r="G293" s="32"/>
    </row>
    <row r="294" spans="1:7" ht="15" customHeight="1">
      <c r="A294" s="30"/>
      <c r="B294" s="32"/>
      <c r="C294" s="32"/>
      <c r="D294" s="32"/>
      <c r="E294" s="32"/>
      <c r="F294" s="32"/>
      <c r="G294" s="32"/>
    </row>
    <row r="295" spans="1:7" ht="15" customHeight="1">
      <c r="A295" s="30"/>
      <c r="B295" s="32"/>
      <c r="C295" s="32"/>
      <c r="D295" s="32"/>
      <c r="E295" s="32"/>
      <c r="F295" s="32"/>
      <c r="G295" s="32"/>
    </row>
    <row r="296" spans="1:7" ht="15" customHeight="1">
      <c r="A296" s="30"/>
      <c r="B296" s="32"/>
      <c r="C296" s="32"/>
      <c r="D296" s="32"/>
      <c r="E296" s="32"/>
      <c r="F296" s="32"/>
      <c r="G296" s="32"/>
    </row>
    <row r="297" spans="1:7" ht="15" customHeight="1">
      <c r="A297" s="30"/>
      <c r="B297" s="32"/>
      <c r="C297" s="32"/>
      <c r="D297" s="32"/>
      <c r="E297" s="32"/>
      <c r="F297" s="32"/>
      <c r="G297" s="32"/>
    </row>
    <row r="298" spans="1:7" ht="15" customHeight="1">
      <c r="A298" s="30"/>
      <c r="B298" s="32"/>
      <c r="C298" s="32"/>
      <c r="D298" s="32"/>
      <c r="E298" s="32"/>
      <c r="F298" s="32"/>
      <c r="G298" s="32"/>
    </row>
    <row r="299" spans="1:7" ht="15" customHeight="1">
      <c r="A299" s="30"/>
      <c r="B299" s="32"/>
      <c r="C299" s="32"/>
      <c r="D299" s="32"/>
      <c r="E299" s="32"/>
      <c r="F299" s="32"/>
      <c r="G299" s="32"/>
    </row>
    <row r="300" spans="1:7" ht="15" customHeight="1">
      <c r="A300" s="30"/>
      <c r="B300" s="32"/>
      <c r="C300" s="32"/>
      <c r="D300" s="32"/>
      <c r="E300" s="32"/>
      <c r="F300" s="32"/>
      <c r="G300" s="32"/>
    </row>
  </sheetData>
  <autoFilter ref="A1:G300" xr:uid="{00000000-0009-0000-0000-000005000000}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30" customWidth="1"/>
    <col min="3" max="3" width="11" customWidth="1"/>
    <col min="4" max="4" width="16" customWidth="1"/>
    <col min="5" max="5" width="12" customWidth="1"/>
    <col min="6" max="8" width="10" customWidth="1"/>
    <col min="9" max="9" width="8" customWidth="1"/>
    <col min="10" max="10" width="10" customWidth="1"/>
    <col min="11" max="11" width="6" customWidth="1"/>
    <col min="12" max="12" width="11" customWidth="1"/>
    <col min="13" max="13" width="28" customWidth="1"/>
  </cols>
  <sheetData>
    <row r="1" spans="1:13" ht="30" customHeight="1">
      <c r="A1" s="28" t="s">
        <v>196</v>
      </c>
      <c r="B1" s="28" t="s">
        <v>197</v>
      </c>
      <c r="C1" s="28" t="s">
        <v>314</v>
      </c>
      <c r="D1" s="28" t="s">
        <v>315</v>
      </c>
      <c r="E1" s="28" t="s">
        <v>385</v>
      </c>
      <c r="F1" s="28" t="s">
        <v>386</v>
      </c>
      <c r="G1" s="28" t="s">
        <v>387</v>
      </c>
      <c r="H1" s="28" t="s">
        <v>388</v>
      </c>
      <c r="I1" s="29" t="s">
        <v>389</v>
      </c>
      <c r="J1" s="28" t="s">
        <v>390</v>
      </c>
      <c r="K1" s="28" t="s">
        <v>391</v>
      </c>
      <c r="L1" s="28" t="s">
        <v>392</v>
      </c>
      <c r="M1" s="28" t="s">
        <v>183</v>
      </c>
    </row>
    <row r="2" spans="1:13" ht="15" customHeight="1">
      <c r="A2" s="30" t="s">
        <v>215</v>
      </c>
      <c r="B2" s="33" t="str">
        <f>IF(A2="","",IFERROR(INDEX(품목마스터!$B$2:$B$300,MATCH(A2,품목마스터!$A$2:$A$300,0)),"※미등록"))</f>
        <v>커버1 (상판)</v>
      </c>
      <c r="C2" s="30" t="s">
        <v>322</v>
      </c>
      <c r="D2" s="33" t="str">
        <f>IF(C2="","",IFERROR(INDEX(협력사마스터!$B$2:$B$300,MATCH(C2,협력사마스터!$A$2:$A$300,0)),"※미등록"))</f>
        <v>OO텍스타일</v>
      </c>
      <c r="E2" s="32" t="s">
        <v>361</v>
      </c>
      <c r="F2" s="33" t="str">
        <f>IF(E2="","",IFERROR(INDEX(담당자마스터!$B$2:$B$300,MATCH(E2,담당자마스터!$A$2:$A$300,0)),"※미등록"))</f>
        <v>이OO</v>
      </c>
      <c r="G2" s="31" t="s">
        <v>393</v>
      </c>
      <c r="H2" s="32">
        <v>30</v>
      </c>
      <c r="I2" s="32">
        <v>500</v>
      </c>
      <c r="J2" s="32">
        <v>0</v>
      </c>
      <c r="K2" s="32" t="s">
        <v>394</v>
      </c>
      <c r="L2" s="32" t="s">
        <v>395</v>
      </c>
      <c r="M2" s="31" t="s">
        <v>190</v>
      </c>
    </row>
    <row r="3" spans="1:13" ht="15" customHeight="1">
      <c r="A3" s="30" t="s">
        <v>220</v>
      </c>
      <c r="B3" s="33" t="str">
        <f>IF(A3="","",IFERROR(INDEX(품목마스터!$B$2:$B$300,MATCH(A3,품목마스터!$A$2:$A$300,0)),"※미등록"))</f>
        <v>커버2 (하판)</v>
      </c>
      <c r="C3" s="30" t="s">
        <v>322</v>
      </c>
      <c r="D3" s="33" t="str">
        <f>IF(C3="","",IFERROR(INDEX(협력사마스터!$B$2:$B$300,MATCH(C3,협력사마스터!$A$2:$A$300,0)),"※미등록"))</f>
        <v>OO텍스타일</v>
      </c>
      <c r="E3" s="32" t="s">
        <v>361</v>
      </c>
      <c r="F3" s="33" t="str">
        <f>IF(E3="","",IFERROR(INDEX(담당자마스터!$B$2:$B$300,MATCH(E3,담당자마스터!$A$2:$A$300,0)),"※미등록"))</f>
        <v>이OO</v>
      </c>
      <c r="G3" s="31" t="s">
        <v>393</v>
      </c>
      <c r="H3" s="32">
        <v>30</v>
      </c>
      <c r="I3" s="32">
        <v>500</v>
      </c>
      <c r="J3" s="32">
        <v>0</v>
      </c>
      <c r="K3" s="32" t="s">
        <v>394</v>
      </c>
      <c r="L3" s="32" t="s">
        <v>395</v>
      </c>
      <c r="M3" s="31" t="s">
        <v>190</v>
      </c>
    </row>
    <row r="4" spans="1:13" ht="15" customHeight="1">
      <c r="A4" s="30" t="s">
        <v>225</v>
      </c>
      <c r="B4" s="33" t="str">
        <f>IF(A4="","",IFERROR(INDEX(품목마스터!$B$2:$B$300,MATCH(A4,품목마스터!$A$2:$A$300,0)),"※미등록"))</f>
        <v>폼</v>
      </c>
      <c r="C4" s="30" t="s">
        <v>330</v>
      </c>
      <c r="D4" s="33" t="str">
        <f>IF(C4="","",IFERROR(INDEX(협력사마스터!$B$2:$B$300,MATCH(C4,협력사마스터!$A$2:$A$300,0)),"※미등록"))</f>
        <v>OO폼</v>
      </c>
      <c r="E4" s="32" t="s">
        <v>361</v>
      </c>
      <c r="F4" s="33" t="str">
        <f>IF(E4="","",IFERROR(INDEX(담당자마스터!$B$2:$B$300,MATCH(E4,담당자마스터!$A$2:$A$300,0)),"※미등록"))</f>
        <v>이OO</v>
      </c>
      <c r="G4" s="31" t="s">
        <v>396</v>
      </c>
      <c r="H4" s="32">
        <v>21</v>
      </c>
      <c r="I4" s="32">
        <v>300</v>
      </c>
      <c r="J4" s="32">
        <v>0</v>
      </c>
      <c r="K4" s="32" t="s">
        <v>394</v>
      </c>
      <c r="L4" s="32"/>
      <c r="M4" s="31" t="s">
        <v>190</v>
      </c>
    </row>
    <row r="5" spans="1:13" ht="15" customHeight="1">
      <c r="A5" s="30" t="s">
        <v>228</v>
      </c>
      <c r="B5" s="33" t="str">
        <f>IF(A5="","",IFERROR(INDEX(품목마스터!$B$2:$B$300,MATCH(A5,품목마스터!$A$2:$A$300,0)),"※미등록"))</f>
        <v>로우라벨 (법정표시)</v>
      </c>
      <c r="C5" s="30" t="s">
        <v>343</v>
      </c>
      <c r="D5" s="33" t="str">
        <f>IF(C5="","",IFERROR(INDEX(협력사마스터!$B$2:$B$300,MATCH(C5,협력사마스터!$A$2:$A$300,0)),"※미등록"))</f>
        <v>OO패키지</v>
      </c>
      <c r="E5" s="32" t="s">
        <v>361</v>
      </c>
      <c r="F5" s="33" t="str">
        <f>IF(E5="","",IFERROR(INDEX(담당자마스터!$B$2:$B$300,MATCH(E5,담당자마스터!$A$2:$A$300,0)),"※미등록"))</f>
        <v>이OO</v>
      </c>
      <c r="G5" s="31" t="s">
        <v>393</v>
      </c>
      <c r="H5" s="32">
        <v>10</v>
      </c>
      <c r="I5" s="32">
        <v>1000</v>
      </c>
      <c r="J5" s="32">
        <v>0</v>
      </c>
      <c r="K5" s="32" t="s">
        <v>394</v>
      </c>
      <c r="L5" s="32" t="s">
        <v>397</v>
      </c>
      <c r="M5" s="31" t="s">
        <v>190</v>
      </c>
    </row>
    <row r="6" spans="1:13" ht="15" customHeight="1">
      <c r="A6" s="30" t="s">
        <v>232</v>
      </c>
      <c r="B6" s="33" t="str">
        <f>IF(A6="","",IFERROR(INDEX(품목마스터!$B$2:$B$300,MATCH(A6,품목마스터!$A$2:$A$300,0)),"※미등록"))</f>
        <v>로고라벨</v>
      </c>
      <c r="C6" s="30" t="s">
        <v>343</v>
      </c>
      <c r="D6" s="33" t="str">
        <f>IF(C6="","",IFERROR(INDEX(협력사마스터!$B$2:$B$300,MATCH(C6,협력사마스터!$A$2:$A$300,0)),"※미등록"))</f>
        <v>OO패키지</v>
      </c>
      <c r="E6" s="32" t="s">
        <v>361</v>
      </c>
      <c r="F6" s="33" t="str">
        <f>IF(E6="","",IFERROR(INDEX(담당자마스터!$B$2:$B$300,MATCH(E6,담당자마스터!$A$2:$A$300,0)),"※미등록"))</f>
        <v>이OO</v>
      </c>
      <c r="G6" s="31" t="s">
        <v>393</v>
      </c>
      <c r="H6" s="32">
        <v>10</v>
      </c>
      <c r="I6" s="32">
        <v>1000</v>
      </c>
      <c r="J6" s="32">
        <v>0</v>
      </c>
      <c r="K6" s="32" t="s">
        <v>394</v>
      </c>
      <c r="L6" s="32" t="s">
        <v>397</v>
      </c>
      <c r="M6" s="31" t="s">
        <v>190</v>
      </c>
    </row>
    <row r="7" spans="1:13" ht="15" customHeight="1">
      <c r="A7" s="30" t="s">
        <v>238</v>
      </c>
      <c r="B7" s="33" t="str">
        <f>IF(A7="","",IFERROR(INDEX(품목마스터!$B$2:$B$300,MATCH(A7,품목마스터!$A$2:$A$300,0)),"※미등록"))</f>
        <v>컨트롤러 아세이 (윈도우커버라벨 포함)</v>
      </c>
      <c r="C7" s="30" t="s">
        <v>335</v>
      </c>
      <c r="D7" s="33" t="str">
        <f>IF(C7="","",IFERROR(INDEX(협력사마스터!$B$2:$B$300,MATCH(C7,협력사마스터!$A$2:$A$300,0)),"※미등록"))</f>
        <v>OO전자</v>
      </c>
      <c r="E7" s="32" t="s">
        <v>367</v>
      </c>
      <c r="F7" s="33" t="str">
        <f>IF(E7="","",IFERROR(INDEX(담당자마스터!$B$2:$B$300,MATCH(E7,담당자마스터!$A$2:$A$300,0)),"※미등록"))</f>
        <v>박OO</v>
      </c>
      <c r="G7" s="31" t="s">
        <v>396</v>
      </c>
      <c r="H7" s="32">
        <v>60</v>
      </c>
      <c r="I7" s="32">
        <v>1000</v>
      </c>
      <c r="J7" s="32">
        <v>0</v>
      </c>
      <c r="K7" s="32" t="s">
        <v>398</v>
      </c>
      <c r="L7" s="32"/>
      <c r="M7" s="31" t="s">
        <v>190</v>
      </c>
    </row>
    <row r="8" spans="1:13" ht="15" customHeight="1">
      <c r="A8" s="30" t="s">
        <v>243</v>
      </c>
      <c r="B8" s="33" t="str">
        <f>IF(A8="","",IFERROR(INDEX(품목마스터!$B$2:$B$300,MATCH(A8,품목마스터!$A$2:$A$300,0)),"※미등록"))</f>
        <v>어댑터</v>
      </c>
      <c r="C8" s="30" t="s">
        <v>335</v>
      </c>
      <c r="D8" s="33" t="str">
        <f>IF(C8="","",IFERROR(INDEX(협력사마스터!$B$2:$B$300,MATCH(C8,협력사마스터!$A$2:$A$300,0)),"※미등록"))</f>
        <v>OO전자</v>
      </c>
      <c r="E8" s="32" t="s">
        <v>367</v>
      </c>
      <c r="F8" s="33" t="str">
        <f>IF(E8="","",IFERROR(INDEX(담당자마스터!$B$2:$B$300,MATCH(E8,담당자마스터!$A$2:$A$300,0)),"※미등록"))</f>
        <v>박OO</v>
      </c>
      <c r="G8" s="31" t="s">
        <v>393</v>
      </c>
      <c r="H8" s="32">
        <v>45</v>
      </c>
      <c r="I8" s="32">
        <v>1000</v>
      </c>
      <c r="J8" s="32">
        <v>0</v>
      </c>
      <c r="K8" s="32" t="s">
        <v>398</v>
      </c>
      <c r="L8" s="32" t="s">
        <v>399</v>
      </c>
      <c r="M8" s="31" t="s">
        <v>190</v>
      </c>
    </row>
    <row r="9" spans="1:13" ht="15" customHeight="1">
      <c r="A9" s="30" t="s">
        <v>247</v>
      </c>
      <c r="B9" s="33" t="str">
        <f>IF(A9="","",IFERROR(INDEX(품목마스터!$B$2:$B$300,MATCH(A9,품목마스터!$A$2:$A$300,0)),"※미등록"))</f>
        <v>에어호스</v>
      </c>
      <c r="C9" s="30" t="s">
        <v>335</v>
      </c>
      <c r="D9" s="33" t="str">
        <f>IF(C9="","",IFERROR(INDEX(협력사마스터!$B$2:$B$300,MATCH(C9,협력사마스터!$A$2:$A$300,0)),"※미등록"))</f>
        <v>OO전자</v>
      </c>
      <c r="E9" s="32" t="s">
        <v>367</v>
      </c>
      <c r="F9" s="33" t="str">
        <f>IF(E9="","",IFERROR(INDEX(담당자마스터!$B$2:$B$300,MATCH(E9,담당자마스터!$A$2:$A$300,0)),"※미등록"))</f>
        <v>박OO</v>
      </c>
      <c r="G9" s="31" t="s">
        <v>393</v>
      </c>
      <c r="H9" s="32">
        <v>45</v>
      </c>
      <c r="I9" s="32">
        <v>2000</v>
      </c>
      <c r="J9" s="32">
        <v>0</v>
      </c>
      <c r="K9" s="32" t="s">
        <v>398</v>
      </c>
      <c r="L9" s="32" t="s">
        <v>399</v>
      </c>
      <c r="M9" s="31" t="s">
        <v>190</v>
      </c>
    </row>
    <row r="10" spans="1:13" ht="15" customHeight="1">
      <c r="A10" s="30" t="s">
        <v>251</v>
      </c>
      <c r="B10" s="33" t="str">
        <f>IF(A10="","",IFERROR(INDEX(품목마스터!$B$2:$B$300,MATCH(A10,품목마스터!$A$2:$A$300,0)),"※미등록"))</f>
        <v>매뉴얼</v>
      </c>
      <c r="C10" s="30" t="s">
        <v>343</v>
      </c>
      <c r="D10" s="33" t="str">
        <f>IF(C10="","",IFERROR(INDEX(협력사마스터!$B$2:$B$300,MATCH(C10,협력사마스터!$A$2:$A$300,0)),"※미등록"))</f>
        <v>OO패키지</v>
      </c>
      <c r="E10" s="32" t="s">
        <v>367</v>
      </c>
      <c r="F10" s="33" t="str">
        <f>IF(E10="","",IFERROR(INDEX(담당자마스터!$B$2:$B$300,MATCH(E10,담당자마스터!$A$2:$A$300,0)),"※미등록"))</f>
        <v>박OO</v>
      </c>
      <c r="G10" s="31" t="s">
        <v>400</v>
      </c>
      <c r="H10" s="32">
        <v>7</v>
      </c>
      <c r="I10" s="32">
        <v>1000</v>
      </c>
      <c r="J10" s="32">
        <v>0</v>
      </c>
      <c r="K10" s="32" t="s">
        <v>394</v>
      </c>
      <c r="L10" s="32"/>
      <c r="M10" s="31" t="s">
        <v>190</v>
      </c>
    </row>
    <row r="11" spans="1:13" ht="15" customHeight="1">
      <c r="A11" s="30" t="s">
        <v>255</v>
      </c>
      <c r="B11" s="33" t="str">
        <f>IF(A11="","",IFERROR(INDEX(품목마스터!$B$2:$B$300,MATCH(A11,품목마스터!$A$2:$A$300,0)),"※미등록"))</f>
        <v>IoT Stick</v>
      </c>
      <c r="C11" s="30" t="s">
        <v>335</v>
      </c>
      <c r="D11" s="33" t="str">
        <f>IF(C11="","",IFERROR(INDEX(협력사마스터!$B$2:$B$300,MATCH(C11,협력사마스터!$A$2:$A$300,0)),"※미등록"))</f>
        <v>OO전자</v>
      </c>
      <c r="E11" s="32" t="s">
        <v>373</v>
      </c>
      <c r="F11" s="33" t="str">
        <f>IF(E11="","",IFERROR(INDEX(담당자마스터!$B$2:$B$300,MATCH(E11,담당자마스터!$A$2:$A$300,0)),"※미등록"))</f>
        <v>최OO</v>
      </c>
      <c r="G11" s="31" t="s">
        <v>396</v>
      </c>
      <c r="H11" s="32">
        <v>60</v>
      </c>
      <c r="I11" s="32">
        <v>500</v>
      </c>
      <c r="J11" s="32">
        <v>0</v>
      </c>
      <c r="K11" s="32" t="s">
        <v>398</v>
      </c>
      <c r="L11" s="32"/>
      <c r="M11" s="31" t="s">
        <v>190</v>
      </c>
    </row>
    <row r="12" spans="1:13" ht="15" customHeight="1">
      <c r="A12" s="30" t="s">
        <v>260</v>
      </c>
      <c r="B12" s="33" t="str">
        <f>IF(A12="","",IFERROR(INDEX(품목마스터!$B$2:$B$300,MATCH(A12,품목마스터!$A$2:$A$300,0)),"※미등록"))</f>
        <v>컨트롤러 포장박스</v>
      </c>
      <c r="C12" s="30" t="s">
        <v>343</v>
      </c>
      <c r="D12" s="33" t="str">
        <f>IF(C12="","",IFERROR(INDEX(협력사마스터!$B$2:$B$300,MATCH(C12,협력사마스터!$A$2:$A$300,0)),"※미등록"))</f>
        <v>OO패키지</v>
      </c>
      <c r="E12" s="32" t="s">
        <v>379</v>
      </c>
      <c r="F12" s="33" t="str">
        <f>IF(E12="","",IFERROR(INDEX(담당자마스터!$B$2:$B$300,MATCH(E12,담당자마스터!$A$2:$A$300,0)),"※미등록"))</f>
        <v>정OO</v>
      </c>
      <c r="G12" s="31" t="s">
        <v>393</v>
      </c>
      <c r="H12" s="32">
        <v>14</v>
      </c>
      <c r="I12" s="32">
        <v>1000</v>
      </c>
      <c r="J12" s="32">
        <v>0</v>
      </c>
      <c r="K12" s="32" t="s">
        <v>394</v>
      </c>
      <c r="L12" s="32" t="s">
        <v>401</v>
      </c>
      <c r="M12" s="31" t="s">
        <v>190</v>
      </c>
    </row>
    <row r="13" spans="1:13" ht="15" customHeight="1">
      <c r="A13" s="30" t="s">
        <v>277</v>
      </c>
      <c r="B13" s="33" t="str">
        <f>IF(A13="","",IFERROR(INDEX(품목마스터!$B$2:$B$300,MATCH(A13,품목마스터!$A$2:$A$300,0)),"※미등록"))</f>
        <v>완제품 포장박스</v>
      </c>
      <c r="C13" s="30" t="s">
        <v>343</v>
      </c>
      <c r="D13" s="33" t="str">
        <f>IF(C13="","",IFERROR(INDEX(협력사마스터!$B$2:$B$300,MATCH(C13,협력사마스터!$A$2:$A$300,0)),"※미등록"))</f>
        <v>OO패키지</v>
      </c>
      <c r="E13" s="32" t="s">
        <v>379</v>
      </c>
      <c r="F13" s="33" t="str">
        <f>IF(E13="","",IFERROR(INDEX(담당자마스터!$B$2:$B$300,MATCH(E13,담당자마스터!$A$2:$A$300,0)),"※미등록"))</f>
        <v>정OO</v>
      </c>
      <c r="G13" s="31" t="s">
        <v>393</v>
      </c>
      <c r="H13" s="32">
        <v>14</v>
      </c>
      <c r="I13" s="32">
        <v>500</v>
      </c>
      <c r="J13" s="32">
        <v>0</v>
      </c>
      <c r="K13" s="32" t="s">
        <v>394</v>
      </c>
      <c r="L13" s="32" t="s">
        <v>401</v>
      </c>
      <c r="M13" s="31" t="s">
        <v>190</v>
      </c>
    </row>
    <row r="14" spans="1:13" ht="15" customHeight="1">
      <c r="A14" s="30" t="s">
        <v>281</v>
      </c>
      <c r="B14" s="33" t="str">
        <f>IF(A14="","",IFERROR(INDEX(품목마스터!$B$2:$B$300,MATCH(A14,품목마스터!$A$2:$A$300,0)),"※미등록"))</f>
        <v>포장비닐</v>
      </c>
      <c r="C14" s="30" t="s">
        <v>343</v>
      </c>
      <c r="D14" s="33" t="str">
        <f>IF(C14="","",IFERROR(INDEX(협력사마스터!$B$2:$B$300,MATCH(C14,협력사마스터!$A$2:$A$300,0)),"※미등록"))</f>
        <v>OO패키지</v>
      </c>
      <c r="E14" s="32" t="s">
        <v>379</v>
      </c>
      <c r="F14" s="33" t="str">
        <f>IF(E14="","",IFERROR(INDEX(담당자마스터!$B$2:$B$300,MATCH(E14,담당자마스터!$A$2:$A$300,0)),"※미등록"))</f>
        <v>정OO</v>
      </c>
      <c r="G14" s="31" t="s">
        <v>400</v>
      </c>
      <c r="H14" s="32">
        <v>14</v>
      </c>
      <c r="I14" s="32">
        <v>1000</v>
      </c>
      <c r="J14" s="32">
        <v>0</v>
      </c>
      <c r="K14" s="32" t="s">
        <v>394</v>
      </c>
      <c r="L14" s="32"/>
      <c r="M14" s="31" t="s">
        <v>190</v>
      </c>
    </row>
    <row r="15" spans="1:13" ht="15" customHeight="1">
      <c r="A15" s="30" t="s">
        <v>288</v>
      </c>
      <c r="B15" s="33" t="str">
        <f>IF(A15="","",IFERROR(INDEX(품목마스터!$B$2:$B$300,MATCH(A15,품목마스터!$A$2:$A$300,0)),"※미등록"))</f>
        <v>Android 앱</v>
      </c>
      <c r="C15" s="30" t="s">
        <v>350</v>
      </c>
      <c r="D15" s="33" t="str">
        <f>IF(C15="","",IFERROR(INDEX(협력사마스터!$B$2:$B$300,MATCH(C15,협력사마스터!$A$2:$A$300,0)),"※미등록"))</f>
        <v>(자체개발)</v>
      </c>
      <c r="E15" s="32" t="s">
        <v>373</v>
      </c>
      <c r="F15" s="33" t="str">
        <f>IF(E15="","",IFERROR(INDEX(담당자마스터!$B$2:$B$300,MATCH(E15,담당자마스터!$A$2:$A$300,0)),"※미등록"))</f>
        <v>최OO</v>
      </c>
      <c r="G15" s="31" t="s">
        <v>393</v>
      </c>
      <c r="H15" s="32">
        <v>0</v>
      </c>
      <c r="I15" s="32">
        <v>0</v>
      </c>
      <c r="J15" s="32">
        <v>0</v>
      </c>
      <c r="K15" s="32" t="s">
        <v>113</v>
      </c>
      <c r="L15" s="32"/>
      <c r="M15" s="31" t="s">
        <v>402</v>
      </c>
    </row>
    <row r="16" spans="1:13" ht="15" customHeight="1">
      <c r="A16" s="30" t="s">
        <v>294</v>
      </c>
      <c r="B16" s="33" t="str">
        <f>IF(A16="","",IFERROR(INDEX(품목마스터!$B$2:$B$300,MATCH(A16,품목마스터!$A$2:$A$300,0)),"※미등록"))</f>
        <v>iOS 앱</v>
      </c>
      <c r="C16" s="30" t="s">
        <v>350</v>
      </c>
      <c r="D16" s="33" t="str">
        <f>IF(C16="","",IFERROR(INDEX(협력사마스터!$B$2:$B$300,MATCH(C16,협력사마스터!$A$2:$A$300,0)),"※미등록"))</f>
        <v>(자체개발)</v>
      </c>
      <c r="E16" s="32" t="s">
        <v>373</v>
      </c>
      <c r="F16" s="33" t="str">
        <f>IF(E16="","",IFERROR(INDEX(담당자마스터!$B$2:$B$300,MATCH(E16,담당자마스터!$A$2:$A$300,0)),"※미등록"))</f>
        <v>최OO</v>
      </c>
      <c r="G16" s="31" t="s">
        <v>393</v>
      </c>
      <c r="H16" s="32">
        <v>0</v>
      </c>
      <c r="I16" s="32">
        <v>0</v>
      </c>
      <c r="J16" s="32">
        <v>0</v>
      </c>
      <c r="K16" s="32" t="s">
        <v>113</v>
      </c>
      <c r="L16" s="32"/>
      <c r="M16" s="31" t="s">
        <v>402</v>
      </c>
    </row>
    <row r="17" spans="1:13" ht="15" customHeight="1">
      <c r="A17" s="30" t="s">
        <v>296</v>
      </c>
      <c r="B17" s="33" t="str">
        <f>IF(A17="","",IFERROR(INDEX(품목마스터!$B$2:$B$300,MATCH(A17,품목마스터!$A$2:$A$300,0)),"※미등록"))</f>
        <v>서버 - KR 리전</v>
      </c>
      <c r="C17" s="30" t="s">
        <v>350</v>
      </c>
      <c r="D17" s="33" t="str">
        <f>IF(C17="","",IFERROR(INDEX(협력사마스터!$B$2:$B$300,MATCH(C17,협력사마스터!$A$2:$A$300,0)),"※미등록"))</f>
        <v>(자체개발)</v>
      </c>
      <c r="E17" s="32" t="s">
        <v>373</v>
      </c>
      <c r="F17" s="33" t="str">
        <f>IF(E17="","",IFERROR(INDEX(담당자마스터!$B$2:$B$300,MATCH(E17,담당자마스터!$A$2:$A$300,0)),"※미등록"))</f>
        <v>최OO</v>
      </c>
      <c r="G17" s="31" t="s">
        <v>393</v>
      </c>
      <c r="H17" s="32">
        <v>0</v>
      </c>
      <c r="I17" s="32">
        <v>0</v>
      </c>
      <c r="J17" s="32">
        <v>0</v>
      </c>
      <c r="K17" s="32" t="s">
        <v>113</v>
      </c>
      <c r="L17" s="32"/>
      <c r="M17" s="31" t="s">
        <v>402</v>
      </c>
    </row>
    <row r="18" spans="1:13" ht="15" customHeight="1">
      <c r="A18" s="30"/>
      <c r="B18" s="33" t="str">
        <f>IF(A18="","",IFERROR(INDEX(품목마스터!$B$2:$B$300,MATCH(A18,품목마스터!$A$2:$A$300,0)),"※미등록"))</f>
        <v/>
      </c>
      <c r="C18" s="30"/>
      <c r="D18" s="33" t="str">
        <f>IF(C18="","",IFERROR(INDEX(협력사마스터!$B$2:$B$300,MATCH(C18,협력사마스터!$A$2:$A$300,0)),"※미등록"))</f>
        <v/>
      </c>
      <c r="E18" s="32"/>
      <c r="F18" s="33" t="str">
        <f>IF(E18="","",IFERROR(INDEX(담당자마스터!$B$2:$B$300,MATCH(E18,담당자마스터!$A$2:$A$300,0)),"※미등록"))</f>
        <v/>
      </c>
      <c r="G18" s="31"/>
      <c r="H18" s="32"/>
      <c r="I18" s="32"/>
      <c r="J18" s="32"/>
      <c r="K18" s="32"/>
      <c r="L18" s="32"/>
      <c r="M18" s="32"/>
    </row>
    <row r="19" spans="1:13" ht="15" customHeight="1">
      <c r="A19" s="30"/>
      <c r="B19" s="33" t="str">
        <f>IF(A19="","",IFERROR(INDEX(품목마스터!$B$2:$B$300,MATCH(A19,품목마스터!$A$2:$A$300,0)),"※미등록"))</f>
        <v/>
      </c>
      <c r="C19" s="30"/>
      <c r="D19" s="33" t="str">
        <f>IF(C19="","",IFERROR(INDEX(협력사마스터!$B$2:$B$300,MATCH(C19,협력사마스터!$A$2:$A$300,0)),"※미등록"))</f>
        <v/>
      </c>
      <c r="E19" s="32"/>
      <c r="F19" s="33" t="str">
        <f>IF(E19="","",IFERROR(INDEX(담당자마스터!$B$2:$B$300,MATCH(E19,담당자마스터!$A$2:$A$300,0)),"※미등록"))</f>
        <v/>
      </c>
      <c r="G19" s="31"/>
      <c r="H19" s="32"/>
      <c r="I19" s="32"/>
      <c r="J19" s="32"/>
      <c r="K19" s="32"/>
      <c r="L19" s="32"/>
      <c r="M19" s="32"/>
    </row>
    <row r="20" spans="1:13" ht="15" customHeight="1">
      <c r="A20" s="30"/>
      <c r="B20" s="33" t="str">
        <f>IF(A20="","",IFERROR(INDEX(품목마스터!$B$2:$B$300,MATCH(A20,품목마스터!$A$2:$A$300,0)),"※미등록"))</f>
        <v/>
      </c>
      <c r="C20" s="30"/>
      <c r="D20" s="33" t="str">
        <f>IF(C20="","",IFERROR(INDEX(협력사마스터!$B$2:$B$300,MATCH(C20,협력사마스터!$A$2:$A$300,0)),"※미등록"))</f>
        <v/>
      </c>
      <c r="E20" s="32"/>
      <c r="F20" s="33" t="str">
        <f>IF(E20="","",IFERROR(INDEX(담당자마스터!$B$2:$B$300,MATCH(E20,담당자마스터!$A$2:$A$300,0)),"※미등록"))</f>
        <v/>
      </c>
      <c r="G20" s="31"/>
      <c r="H20" s="32"/>
      <c r="I20" s="32"/>
      <c r="J20" s="32"/>
      <c r="K20" s="32"/>
      <c r="L20" s="32"/>
      <c r="M20" s="32"/>
    </row>
    <row r="21" spans="1:13" ht="15" customHeight="1">
      <c r="A21" s="30"/>
      <c r="B21" s="33" t="str">
        <f>IF(A21="","",IFERROR(INDEX(품목마스터!$B$2:$B$300,MATCH(A21,품목마스터!$A$2:$A$300,0)),"※미등록"))</f>
        <v/>
      </c>
      <c r="C21" s="30"/>
      <c r="D21" s="33" t="str">
        <f>IF(C21="","",IFERROR(INDEX(협력사마스터!$B$2:$B$300,MATCH(C21,협력사마스터!$A$2:$A$300,0)),"※미등록"))</f>
        <v/>
      </c>
      <c r="E21" s="32"/>
      <c r="F21" s="33" t="str">
        <f>IF(E21="","",IFERROR(INDEX(담당자마스터!$B$2:$B$300,MATCH(E21,담당자마스터!$A$2:$A$300,0)),"※미등록"))</f>
        <v/>
      </c>
      <c r="G21" s="31"/>
      <c r="H21" s="32"/>
      <c r="I21" s="32"/>
      <c r="J21" s="32"/>
      <c r="K21" s="32"/>
      <c r="L21" s="32"/>
      <c r="M21" s="32"/>
    </row>
    <row r="22" spans="1:13" ht="15" customHeight="1">
      <c r="A22" s="30"/>
      <c r="B22" s="33" t="str">
        <f>IF(A22="","",IFERROR(INDEX(품목마스터!$B$2:$B$300,MATCH(A22,품목마스터!$A$2:$A$300,0)),"※미등록"))</f>
        <v/>
      </c>
      <c r="C22" s="30"/>
      <c r="D22" s="33" t="str">
        <f>IF(C22="","",IFERROR(INDEX(협력사마스터!$B$2:$B$300,MATCH(C22,협력사마스터!$A$2:$A$300,0)),"※미등록"))</f>
        <v/>
      </c>
      <c r="E22" s="32"/>
      <c r="F22" s="33" t="str">
        <f>IF(E22="","",IFERROR(INDEX(담당자마스터!$B$2:$B$300,MATCH(E22,담당자마스터!$A$2:$A$300,0)),"※미등록"))</f>
        <v/>
      </c>
      <c r="G22" s="31"/>
      <c r="H22" s="32"/>
      <c r="I22" s="32"/>
      <c r="J22" s="32"/>
      <c r="K22" s="32"/>
      <c r="L22" s="32"/>
      <c r="M22" s="32"/>
    </row>
    <row r="23" spans="1:13" ht="15" customHeight="1">
      <c r="A23" s="30"/>
      <c r="B23" s="33" t="str">
        <f>IF(A23="","",IFERROR(INDEX(품목마스터!$B$2:$B$300,MATCH(A23,품목마스터!$A$2:$A$300,0)),"※미등록"))</f>
        <v/>
      </c>
      <c r="C23" s="30"/>
      <c r="D23" s="33" t="str">
        <f>IF(C23="","",IFERROR(INDEX(협력사마스터!$B$2:$B$300,MATCH(C23,협력사마스터!$A$2:$A$300,0)),"※미등록"))</f>
        <v/>
      </c>
      <c r="E23" s="32"/>
      <c r="F23" s="33" t="str">
        <f>IF(E23="","",IFERROR(INDEX(담당자마스터!$B$2:$B$300,MATCH(E23,담당자마스터!$A$2:$A$300,0)),"※미등록"))</f>
        <v/>
      </c>
      <c r="G23" s="31"/>
      <c r="H23" s="32"/>
      <c r="I23" s="32"/>
      <c r="J23" s="32"/>
      <c r="K23" s="32"/>
      <c r="L23" s="32"/>
      <c r="M23" s="32"/>
    </row>
    <row r="24" spans="1:13" ht="15" customHeight="1">
      <c r="A24" s="30"/>
      <c r="B24" s="33" t="str">
        <f>IF(A24="","",IFERROR(INDEX(품목마스터!$B$2:$B$300,MATCH(A24,품목마스터!$A$2:$A$300,0)),"※미등록"))</f>
        <v/>
      </c>
      <c r="C24" s="30"/>
      <c r="D24" s="33" t="str">
        <f>IF(C24="","",IFERROR(INDEX(협력사마스터!$B$2:$B$300,MATCH(C24,협력사마스터!$A$2:$A$300,0)),"※미등록"))</f>
        <v/>
      </c>
      <c r="E24" s="32"/>
      <c r="F24" s="33" t="str">
        <f>IF(E24="","",IFERROR(INDEX(담당자마스터!$B$2:$B$300,MATCH(E24,담당자마스터!$A$2:$A$300,0)),"※미등록"))</f>
        <v/>
      </c>
      <c r="G24" s="31"/>
      <c r="H24" s="32"/>
      <c r="I24" s="32"/>
      <c r="J24" s="32"/>
      <c r="K24" s="32"/>
      <c r="L24" s="32"/>
      <c r="M24" s="32"/>
    </row>
    <row r="25" spans="1:13" ht="15" customHeight="1">
      <c r="A25" s="30"/>
      <c r="B25" s="33" t="str">
        <f>IF(A25="","",IFERROR(INDEX(품목마스터!$B$2:$B$300,MATCH(A25,품목마스터!$A$2:$A$300,0)),"※미등록"))</f>
        <v/>
      </c>
      <c r="C25" s="30"/>
      <c r="D25" s="33" t="str">
        <f>IF(C25="","",IFERROR(INDEX(협력사마스터!$B$2:$B$300,MATCH(C25,협력사마스터!$A$2:$A$300,0)),"※미등록"))</f>
        <v/>
      </c>
      <c r="E25" s="32"/>
      <c r="F25" s="33" t="str">
        <f>IF(E25="","",IFERROR(INDEX(담당자마스터!$B$2:$B$300,MATCH(E25,담당자마스터!$A$2:$A$300,0)),"※미등록"))</f>
        <v/>
      </c>
      <c r="G25" s="31"/>
      <c r="H25" s="32"/>
      <c r="I25" s="32"/>
      <c r="J25" s="32"/>
      <c r="K25" s="32"/>
      <c r="L25" s="32"/>
      <c r="M25" s="32"/>
    </row>
    <row r="26" spans="1:13" ht="15" customHeight="1">
      <c r="A26" s="30"/>
      <c r="B26" s="33" t="str">
        <f>IF(A26="","",IFERROR(INDEX(품목마스터!$B$2:$B$300,MATCH(A26,품목마스터!$A$2:$A$300,0)),"※미등록"))</f>
        <v/>
      </c>
      <c r="C26" s="30"/>
      <c r="D26" s="33" t="str">
        <f>IF(C26="","",IFERROR(INDEX(협력사마스터!$B$2:$B$300,MATCH(C26,협력사마스터!$A$2:$A$300,0)),"※미등록"))</f>
        <v/>
      </c>
      <c r="E26" s="32"/>
      <c r="F26" s="33" t="str">
        <f>IF(E26="","",IFERROR(INDEX(담당자마스터!$B$2:$B$300,MATCH(E26,담당자마스터!$A$2:$A$300,0)),"※미등록"))</f>
        <v/>
      </c>
      <c r="G26" s="31"/>
      <c r="H26" s="32"/>
      <c r="I26" s="32"/>
      <c r="J26" s="32"/>
      <c r="K26" s="32"/>
      <c r="L26" s="32"/>
      <c r="M26" s="32"/>
    </row>
    <row r="27" spans="1:13" ht="15" customHeight="1">
      <c r="A27" s="30"/>
      <c r="B27" s="33" t="str">
        <f>IF(A27="","",IFERROR(INDEX(품목마스터!$B$2:$B$300,MATCH(A27,품목마스터!$A$2:$A$300,0)),"※미등록"))</f>
        <v/>
      </c>
      <c r="C27" s="30"/>
      <c r="D27" s="33" t="str">
        <f>IF(C27="","",IFERROR(INDEX(협력사마스터!$B$2:$B$300,MATCH(C27,협력사마스터!$A$2:$A$300,0)),"※미등록"))</f>
        <v/>
      </c>
      <c r="E27" s="32"/>
      <c r="F27" s="33" t="str">
        <f>IF(E27="","",IFERROR(INDEX(담당자마스터!$B$2:$B$300,MATCH(E27,담당자마스터!$A$2:$A$300,0)),"※미등록"))</f>
        <v/>
      </c>
      <c r="G27" s="31"/>
      <c r="H27" s="32"/>
      <c r="I27" s="32"/>
      <c r="J27" s="32"/>
      <c r="K27" s="32"/>
      <c r="L27" s="32"/>
      <c r="M27" s="32"/>
    </row>
    <row r="28" spans="1:13" ht="15" customHeight="1">
      <c r="A28" s="30"/>
      <c r="B28" s="33" t="str">
        <f>IF(A28="","",IFERROR(INDEX(품목마스터!$B$2:$B$300,MATCH(A28,품목마스터!$A$2:$A$300,0)),"※미등록"))</f>
        <v/>
      </c>
      <c r="C28" s="30"/>
      <c r="D28" s="33" t="str">
        <f>IF(C28="","",IFERROR(INDEX(협력사마스터!$B$2:$B$300,MATCH(C28,협력사마스터!$A$2:$A$300,0)),"※미등록"))</f>
        <v/>
      </c>
      <c r="E28" s="32"/>
      <c r="F28" s="33" t="str">
        <f>IF(E28="","",IFERROR(INDEX(담당자마스터!$B$2:$B$300,MATCH(E28,담당자마스터!$A$2:$A$300,0)),"※미등록"))</f>
        <v/>
      </c>
      <c r="G28" s="31"/>
      <c r="H28" s="32"/>
      <c r="I28" s="32"/>
      <c r="J28" s="32"/>
      <c r="K28" s="32"/>
      <c r="L28" s="32"/>
      <c r="M28" s="32"/>
    </row>
    <row r="29" spans="1:13" ht="15" customHeight="1">
      <c r="A29" s="30"/>
      <c r="B29" s="33" t="str">
        <f>IF(A29="","",IFERROR(INDEX(품목마스터!$B$2:$B$300,MATCH(A29,품목마스터!$A$2:$A$300,0)),"※미등록"))</f>
        <v/>
      </c>
      <c r="C29" s="30"/>
      <c r="D29" s="33" t="str">
        <f>IF(C29="","",IFERROR(INDEX(협력사마스터!$B$2:$B$300,MATCH(C29,협력사마스터!$A$2:$A$300,0)),"※미등록"))</f>
        <v/>
      </c>
      <c r="E29" s="32"/>
      <c r="F29" s="33" t="str">
        <f>IF(E29="","",IFERROR(INDEX(담당자마스터!$B$2:$B$300,MATCH(E29,담당자마스터!$A$2:$A$300,0)),"※미등록"))</f>
        <v/>
      </c>
      <c r="G29" s="31"/>
      <c r="H29" s="32"/>
      <c r="I29" s="32"/>
      <c r="J29" s="32"/>
      <c r="K29" s="32"/>
      <c r="L29" s="32"/>
      <c r="M29" s="32"/>
    </row>
    <row r="30" spans="1:13" ht="15" customHeight="1">
      <c r="A30" s="30"/>
      <c r="B30" s="33" t="str">
        <f>IF(A30="","",IFERROR(INDEX(품목마스터!$B$2:$B$300,MATCH(A30,품목마스터!$A$2:$A$300,0)),"※미등록"))</f>
        <v/>
      </c>
      <c r="C30" s="30"/>
      <c r="D30" s="33" t="str">
        <f>IF(C30="","",IFERROR(INDEX(협력사마스터!$B$2:$B$300,MATCH(C30,협력사마스터!$A$2:$A$300,0)),"※미등록"))</f>
        <v/>
      </c>
      <c r="E30" s="32"/>
      <c r="F30" s="33" t="str">
        <f>IF(E30="","",IFERROR(INDEX(담당자마스터!$B$2:$B$300,MATCH(E30,담당자마스터!$A$2:$A$300,0)),"※미등록"))</f>
        <v/>
      </c>
      <c r="G30" s="31"/>
      <c r="H30" s="32"/>
      <c r="I30" s="32"/>
      <c r="J30" s="32"/>
      <c r="K30" s="32"/>
      <c r="L30" s="32"/>
      <c r="M30" s="32"/>
    </row>
    <row r="31" spans="1:13" ht="15" customHeight="1">
      <c r="A31" s="30"/>
      <c r="B31" s="33" t="str">
        <f>IF(A31="","",IFERROR(INDEX(품목마스터!$B$2:$B$300,MATCH(A31,품목마스터!$A$2:$A$300,0)),"※미등록"))</f>
        <v/>
      </c>
      <c r="C31" s="30"/>
      <c r="D31" s="33" t="str">
        <f>IF(C31="","",IFERROR(INDEX(협력사마스터!$B$2:$B$300,MATCH(C31,협력사마스터!$A$2:$A$300,0)),"※미등록"))</f>
        <v/>
      </c>
      <c r="E31" s="32"/>
      <c r="F31" s="33" t="str">
        <f>IF(E31="","",IFERROR(INDEX(담당자마스터!$B$2:$B$300,MATCH(E31,담당자마스터!$A$2:$A$300,0)),"※미등록"))</f>
        <v/>
      </c>
      <c r="G31" s="31"/>
      <c r="H31" s="32"/>
      <c r="I31" s="32"/>
      <c r="J31" s="32"/>
      <c r="K31" s="32"/>
      <c r="L31" s="32"/>
      <c r="M31" s="32"/>
    </row>
    <row r="32" spans="1:13" ht="15" customHeight="1">
      <c r="A32" s="30"/>
      <c r="B32" s="33" t="str">
        <f>IF(A32="","",IFERROR(INDEX(품목마스터!$B$2:$B$300,MATCH(A32,품목마스터!$A$2:$A$300,0)),"※미등록"))</f>
        <v/>
      </c>
      <c r="C32" s="30"/>
      <c r="D32" s="33" t="str">
        <f>IF(C32="","",IFERROR(INDEX(협력사마스터!$B$2:$B$300,MATCH(C32,협력사마스터!$A$2:$A$300,0)),"※미등록"))</f>
        <v/>
      </c>
      <c r="E32" s="32"/>
      <c r="F32" s="33" t="str">
        <f>IF(E32="","",IFERROR(INDEX(담당자마스터!$B$2:$B$300,MATCH(E32,담당자마스터!$A$2:$A$300,0)),"※미등록"))</f>
        <v/>
      </c>
      <c r="G32" s="31"/>
      <c r="H32" s="32"/>
      <c r="I32" s="32"/>
      <c r="J32" s="32"/>
      <c r="K32" s="32"/>
      <c r="L32" s="32"/>
      <c r="M32" s="32"/>
    </row>
    <row r="33" spans="1:13" ht="15" customHeight="1">
      <c r="A33" s="30"/>
      <c r="B33" s="33" t="str">
        <f>IF(A33="","",IFERROR(INDEX(품목마스터!$B$2:$B$300,MATCH(A33,품목마스터!$A$2:$A$300,0)),"※미등록"))</f>
        <v/>
      </c>
      <c r="C33" s="30"/>
      <c r="D33" s="33" t="str">
        <f>IF(C33="","",IFERROR(INDEX(협력사마스터!$B$2:$B$300,MATCH(C33,협력사마스터!$A$2:$A$300,0)),"※미등록"))</f>
        <v/>
      </c>
      <c r="E33" s="32"/>
      <c r="F33" s="33" t="str">
        <f>IF(E33="","",IFERROR(INDEX(담당자마스터!$B$2:$B$300,MATCH(E33,담당자마스터!$A$2:$A$300,0)),"※미등록"))</f>
        <v/>
      </c>
      <c r="G33" s="31"/>
      <c r="H33" s="32"/>
      <c r="I33" s="32"/>
      <c r="J33" s="32"/>
      <c r="K33" s="32"/>
      <c r="L33" s="32"/>
      <c r="M33" s="32"/>
    </row>
    <row r="34" spans="1:13" ht="15" customHeight="1">
      <c r="A34" s="30"/>
      <c r="B34" s="33" t="str">
        <f>IF(A34="","",IFERROR(INDEX(품목마스터!$B$2:$B$300,MATCH(A34,품목마스터!$A$2:$A$300,0)),"※미등록"))</f>
        <v/>
      </c>
      <c r="C34" s="30"/>
      <c r="D34" s="33" t="str">
        <f>IF(C34="","",IFERROR(INDEX(협력사마스터!$B$2:$B$300,MATCH(C34,협력사마스터!$A$2:$A$300,0)),"※미등록"))</f>
        <v/>
      </c>
      <c r="E34" s="32"/>
      <c r="F34" s="33" t="str">
        <f>IF(E34="","",IFERROR(INDEX(담당자마스터!$B$2:$B$300,MATCH(E34,담당자마스터!$A$2:$A$300,0)),"※미등록"))</f>
        <v/>
      </c>
      <c r="G34" s="31"/>
      <c r="H34" s="32"/>
      <c r="I34" s="32"/>
      <c r="J34" s="32"/>
      <c r="K34" s="32"/>
      <c r="L34" s="32"/>
      <c r="M34" s="32"/>
    </row>
    <row r="35" spans="1:13" ht="15" customHeight="1">
      <c r="A35" s="30"/>
      <c r="B35" s="33" t="str">
        <f>IF(A35="","",IFERROR(INDEX(품목마스터!$B$2:$B$300,MATCH(A35,품목마스터!$A$2:$A$300,0)),"※미등록"))</f>
        <v/>
      </c>
      <c r="C35" s="30"/>
      <c r="D35" s="33" t="str">
        <f>IF(C35="","",IFERROR(INDEX(협력사마스터!$B$2:$B$300,MATCH(C35,협력사마스터!$A$2:$A$300,0)),"※미등록"))</f>
        <v/>
      </c>
      <c r="E35" s="32"/>
      <c r="F35" s="33" t="str">
        <f>IF(E35="","",IFERROR(INDEX(담당자마스터!$B$2:$B$300,MATCH(E35,담당자마스터!$A$2:$A$300,0)),"※미등록"))</f>
        <v/>
      </c>
      <c r="G35" s="31"/>
      <c r="H35" s="32"/>
      <c r="I35" s="32"/>
      <c r="J35" s="32"/>
      <c r="K35" s="32"/>
      <c r="L35" s="32"/>
      <c r="M35" s="32"/>
    </row>
    <row r="36" spans="1:13" ht="15" customHeight="1">
      <c r="A36" s="30"/>
      <c r="B36" s="33" t="str">
        <f>IF(A36="","",IFERROR(INDEX(품목마스터!$B$2:$B$300,MATCH(A36,품목마스터!$A$2:$A$300,0)),"※미등록"))</f>
        <v/>
      </c>
      <c r="C36" s="30"/>
      <c r="D36" s="33" t="str">
        <f>IF(C36="","",IFERROR(INDEX(협력사마스터!$B$2:$B$300,MATCH(C36,협력사마스터!$A$2:$A$300,0)),"※미등록"))</f>
        <v/>
      </c>
      <c r="E36" s="32"/>
      <c r="F36" s="33" t="str">
        <f>IF(E36="","",IFERROR(INDEX(담당자마스터!$B$2:$B$300,MATCH(E36,담당자마스터!$A$2:$A$300,0)),"※미등록"))</f>
        <v/>
      </c>
      <c r="G36" s="31"/>
      <c r="H36" s="32"/>
      <c r="I36" s="32"/>
      <c r="J36" s="32"/>
      <c r="K36" s="32"/>
      <c r="L36" s="32"/>
      <c r="M36" s="32"/>
    </row>
    <row r="37" spans="1:13" ht="15" customHeight="1">
      <c r="A37" s="30"/>
      <c r="B37" s="33" t="str">
        <f>IF(A37="","",IFERROR(INDEX(품목마스터!$B$2:$B$300,MATCH(A37,품목마스터!$A$2:$A$300,0)),"※미등록"))</f>
        <v/>
      </c>
      <c r="C37" s="30"/>
      <c r="D37" s="33" t="str">
        <f>IF(C37="","",IFERROR(INDEX(협력사마스터!$B$2:$B$300,MATCH(C37,협력사마스터!$A$2:$A$300,0)),"※미등록"))</f>
        <v/>
      </c>
      <c r="E37" s="32"/>
      <c r="F37" s="33" t="str">
        <f>IF(E37="","",IFERROR(INDEX(담당자마스터!$B$2:$B$300,MATCH(E37,담당자마스터!$A$2:$A$300,0)),"※미등록"))</f>
        <v/>
      </c>
      <c r="G37" s="31"/>
      <c r="H37" s="32"/>
      <c r="I37" s="32"/>
      <c r="J37" s="32"/>
      <c r="K37" s="32"/>
      <c r="L37" s="32"/>
      <c r="M37" s="32"/>
    </row>
    <row r="38" spans="1:13" ht="15" customHeight="1">
      <c r="A38" s="30"/>
      <c r="B38" s="33" t="str">
        <f>IF(A38="","",IFERROR(INDEX(품목마스터!$B$2:$B$300,MATCH(A38,품목마스터!$A$2:$A$300,0)),"※미등록"))</f>
        <v/>
      </c>
      <c r="C38" s="30"/>
      <c r="D38" s="33" t="str">
        <f>IF(C38="","",IFERROR(INDEX(협력사마스터!$B$2:$B$300,MATCH(C38,협력사마스터!$A$2:$A$300,0)),"※미등록"))</f>
        <v/>
      </c>
      <c r="E38" s="32"/>
      <c r="F38" s="33" t="str">
        <f>IF(E38="","",IFERROR(INDEX(담당자마스터!$B$2:$B$300,MATCH(E38,담당자마스터!$A$2:$A$300,0)),"※미등록"))</f>
        <v/>
      </c>
      <c r="G38" s="31"/>
      <c r="H38" s="32"/>
      <c r="I38" s="32"/>
      <c r="J38" s="32"/>
      <c r="K38" s="32"/>
      <c r="L38" s="32"/>
      <c r="M38" s="32"/>
    </row>
    <row r="39" spans="1:13" ht="15" customHeight="1">
      <c r="A39" s="30"/>
      <c r="B39" s="33" t="str">
        <f>IF(A39="","",IFERROR(INDEX(품목마스터!$B$2:$B$300,MATCH(A39,품목마스터!$A$2:$A$300,0)),"※미등록"))</f>
        <v/>
      </c>
      <c r="C39" s="30"/>
      <c r="D39" s="33" t="str">
        <f>IF(C39="","",IFERROR(INDEX(협력사마스터!$B$2:$B$300,MATCH(C39,협력사마스터!$A$2:$A$300,0)),"※미등록"))</f>
        <v/>
      </c>
      <c r="E39" s="32"/>
      <c r="F39" s="33" t="str">
        <f>IF(E39="","",IFERROR(INDEX(담당자마스터!$B$2:$B$300,MATCH(E39,담당자마스터!$A$2:$A$300,0)),"※미등록"))</f>
        <v/>
      </c>
      <c r="G39" s="31"/>
      <c r="H39" s="32"/>
      <c r="I39" s="32"/>
      <c r="J39" s="32"/>
      <c r="K39" s="32"/>
      <c r="L39" s="32"/>
      <c r="M39" s="32"/>
    </row>
    <row r="40" spans="1:13" ht="15" customHeight="1">
      <c r="A40" s="30"/>
      <c r="B40" s="33" t="str">
        <f>IF(A40="","",IFERROR(INDEX(품목마스터!$B$2:$B$300,MATCH(A40,품목마스터!$A$2:$A$300,0)),"※미등록"))</f>
        <v/>
      </c>
      <c r="C40" s="30"/>
      <c r="D40" s="33" t="str">
        <f>IF(C40="","",IFERROR(INDEX(협력사마스터!$B$2:$B$300,MATCH(C40,협력사마스터!$A$2:$A$300,0)),"※미등록"))</f>
        <v/>
      </c>
      <c r="E40" s="32"/>
      <c r="F40" s="33" t="str">
        <f>IF(E40="","",IFERROR(INDEX(담당자마스터!$B$2:$B$300,MATCH(E40,담당자마스터!$A$2:$A$300,0)),"※미등록"))</f>
        <v/>
      </c>
      <c r="G40" s="31"/>
      <c r="H40" s="32"/>
      <c r="I40" s="32"/>
      <c r="J40" s="32"/>
      <c r="K40" s="32"/>
      <c r="L40" s="32"/>
      <c r="M40" s="32"/>
    </row>
    <row r="41" spans="1:13" ht="15" customHeight="1">
      <c r="A41" s="30"/>
      <c r="B41" s="33" t="str">
        <f>IF(A41="","",IFERROR(INDEX(품목마스터!$B$2:$B$300,MATCH(A41,품목마스터!$A$2:$A$300,0)),"※미등록"))</f>
        <v/>
      </c>
      <c r="C41" s="30"/>
      <c r="D41" s="33" t="str">
        <f>IF(C41="","",IFERROR(INDEX(협력사마스터!$B$2:$B$300,MATCH(C41,협력사마스터!$A$2:$A$300,0)),"※미등록"))</f>
        <v/>
      </c>
      <c r="E41" s="32"/>
      <c r="F41" s="33" t="str">
        <f>IF(E41="","",IFERROR(INDEX(담당자마스터!$B$2:$B$300,MATCH(E41,담당자마스터!$A$2:$A$300,0)),"※미등록"))</f>
        <v/>
      </c>
      <c r="G41" s="31"/>
      <c r="H41" s="32"/>
      <c r="I41" s="32"/>
      <c r="J41" s="32"/>
      <c r="K41" s="32"/>
      <c r="L41" s="32"/>
      <c r="M41" s="32"/>
    </row>
    <row r="42" spans="1:13" ht="15" customHeight="1">
      <c r="A42" s="30"/>
      <c r="B42" s="33" t="str">
        <f>IF(A42="","",IFERROR(INDEX(품목마스터!$B$2:$B$300,MATCH(A42,품목마스터!$A$2:$A$300,0)),"※미등록"))</f>
        <v/>
      </c>
      <c r="C42" s="30"/>
      <c r="D42" s="33" t="str">
        <f>IF(C42="","",IFERROR(INDEX(협력사마스터!$B$2:$B$300,MATCH(C42,협력사마스터!$A$2:$A$300,0)),"※미등록"))</f>
        <v/>
      </c>
      <c r="E42" s="32"/>
      <c r="F42" s="33" t="str">
        <f>IF(E42="","",IFERROR(INDEX(담당자마스터!$B$2:$B$300,MATCH(E42,담당자마스터!$A$2:$A$300,0)),"※미등록"))</f>
        <v/>
      </c>
      <c r="G42" s="31"/>
      <c r="H42" s="32"/>
      <c r="I42" s="32"/>
      <c r="J42" s="32"/>
      <c r="K42" s="32"/>
      <c r="L42" s="32"/>
      <c r="M42" s="32"/>
    </row>
    <row r="43" spans="1:13" ht="15" customHeight="1">
      <c r="A43" s="30"/>
      <c r="B43" s="33" t="str">
        <f>IF(A43="","",IFERROR(INDEX(품목마스터!$B$2:$B$300,MATCH(A43,품목마스터!$A$2:$A$300,0)),"※미등록"))</f>
        <v/>
      </c>
      <c r="C43" s="30"/>
      <c r="D43" s="33" t="str">
        <f>IF(C43="","",IFERROR(INDEX(협력사마스터!$B$2:$B$300,MATCH(C43,협력사마스터!$A$2:$A$300,0)),"※미등록"))</f>
        <v/>
      </c>
      <c r="E43" s="32"/>
      <c r="F43" s="33" t="str">
        <f>IF(E43="","",IFERROR(INDEX(담당자마스터!$B$2:$B$300,MATCH(E43,담당자마스터!$A$2:$A$300,0)),"※미등록"))</f>
        <v/>
      </c>
      <c r="G43" s="31"/>
      <c r="H43" s="32"/>
      <c r="I43" s="32"/>
      <c r="J43" s="32"/>
      <c r="K43" s="32"/>
      <c r="L43" s="32"/>
      <c r="M43" s="32"/>
    </row>
    <row r="44" spans="1:13" ht="15" customHeight="1">
      <c r="A44" s="30"/>
      <c r="B44" s="33" t="str">
        <f>IF(A44="","",IFERROR(INDEX(품목마스터!$B$2:$B$300,MATCH(A44,품목마스터!$A$2:$A$300,0)),"※미등록"))</f>
        <v/>
      </c>
      <c r="C44" s="30"/>
      <c r="D44" s="33" t="str">
        <f>IF(C44="","",IFERROR(INDEX(협력사마스터!$B$2:$B$300,MATCH(C44,협력사마스터!$A$2:$A$300,0)),"※미등록"))</f>
        <v/>
      </c>
      <c r="E44" s="32"/>
      <c r="F44" s="33" t="str">
        <f>IF(E44="","",IFERROR(INDEX(담당자마스터!$B$2:$B$300,MATCH(E44,담당자마스터!$A$2:$A$300,0)),"※미등록"))</f>
        <v/>
      </c>
      <c r="G44" s="31"/>
      <c r="H44" s="32"/>
      <c r="I44" s="32"/>
      <c r="J44" s="32"/>
      <c r="K44" s="32"/>
      <c r="L44" s="32"/>
      <c r="M44" s="32"/>
    </row>
    <row r="45" spans="1:13" ht="15" customHeight="1">
      <c r="A45" s="30"/>
      <c r="B45" s="33" t="str">
        <f>IF(A45="","",IFERROR(INDEX(품목마스터!$B$2:$B$300,MATCH(A45,품목마스터!$A$2:$A$300,0)),"※미등록"))</f>
        <v/>
      </c>
      <c r="C45" s="30"/>
      <c r="D45" s="33" t="str">
        <f>IF(C45="","",IFERROR(INDEX(협력사마스터!$B$2:$B$300,MATCH(C45,협력사마스터!$A$2:$A$300,0)),"※미등록"))</f>
        <v/>
      </c>
      <c r="E45" s="32"/>
      <c r="F45" s="33" t="str">
        <f>IF(E45="","",IFERROR(INDEX(담당자마스터!$B$2:$B$300,MATCH(E45,담당자마스터!$A$2:$A$300,0)),"※미등록"))</f>
        <v/>
      </c>
      <c r="G45" s="31"/>
      <c r="H45" s="32"/>
      <c r="I45" s="32"/>
      <c r="J45" s="32"/>
      <c r="K45" s="32"/>
      <c r="L45" s="32"/>
      <c r="M45" s="32"/>
    </row>
    <row r="46" spans="1:13" ht="15" customHeight="1">
      <c r="A46" s="30"/>
      <c r="B46" s="33" t="str">
        <f>IF(A46="","",IFERROR(INDEX(품목마스터!$B$2:$B$300,MATCH(A46,품목마스터!$A$2:$A$300,0)),"※미등록"))</f>
        <v/>
      </c>
      <c r="C46" s="30"/>
      <c r="D46" s="33" t="str">
        <f>IF(C46="","",IFERROR(INDEX(협력사마스터!$B$2:$B$300,MATCH(C46,협력사마스터!$A$2:$A$300,0)),"※미등록"))</f>
        <v/>
      </c>
      <c r="E46" s="32"/>
      <c r="F46" s="33" t="str">
        <f>IF(E46="","",IFERROR(INDEX(담당자마스터!$B$2:$B$300,MATCH(E46,담당자마스터!$A$2:$A$300,0)),"※미등록"))</f>
        <v/>
      </c>
      <c r="G46" s="31"/>
      <c r="H46" s="32"/>
      <c r="I46" s="32"/>
      <c r="J46" s="32"/>
      <c r="K46" s="32"/>
      <c r="L46" s="32"/>
      <c r="M46" s="32"/>
    </row>
    <row r="47" spans="1:13" ht="15" customHeight="1">
      <c r="A47" s="30"/>
      <c r="B47" s="33" t="str">
        <f>IF(A47="","",IFERROR(INDEX(품목마스터!$B$2:$B$300,MATCH(A47,품목마스터!$A$2:$A$300,0)),"※미등록"))</f>
        <v/>
      </c>
      <c r="C47" s="30"/>
      <c r="D47" s="33" t="str">
        <f>IF(C47="","",IFERROR(INDEX(협력사마스터!$B$2:$B$300,MATCH(C47,협력사마스터!$A$2:$A$300,0)),"※미등록"))</f>
        <v/>
      </c>
      <c r="E47" s="32"/>
      <c r="F47" s="33" t="str">
        <f>IF(E47="","",IFERROR(INDEX(담당자마스터!$B$2:$B$300,MATCH(E47,담당자마스터!$A$2:$A$300,0)),"※미등록"))</f>
        <v/>
      </c>
      <c r="G47" s="31"/>
      <c r="H47" s="32"/>
      <c r="I47" s="32"/>
      <c r="J47" s="32"/>
      <c r="K47" s="32"/>
      <c r="L47" s="32"/>
      <c r="M47" s="32"/>
    </row>
    <row r="48" spans="1:13" ht="15" customHeight="1">
      <c r="A48" s="30"/>
      <c r="B48" s="33" t="str">
        <f>IF(A48="","",IFERROR(INDEX(품목마스터!$B$2:$B$300,MATCH(A48,품목마스터!$A$2:$A$300,0)),"※미등록"))</f>
        <v/>
      </c>
      <c r="C48" s="30"/>
      <c r="D48" s="33" t="str">
        <f>IF(C48="","",IFERROR(INDEX(협력사마스터!$B$2:$B$300,MATCH(C48,협력사마스터!$A$2:$A$300,0)),"※미등록"))</f>
        <v/>
      </c>
      <c r="E48" s="32"/>
      <c r="F48" s="33" t="str">
        <f>IF(E48="","",IFERROR(INDEX(담당자마스터!$B$2:$B$300,MATCH(E48,담당자마스터!$A$2:$A$300,0)),"※미등록"))</f>
        <v/>
      </c>
      <c r="G48" s="31"/>
      <c r="H48" s="32"/>
      <c r="I48" s="32"/>
      <c r="J48" s="32"/>
      <c r="K48" s="32"/>
      <c r="L48" s="32"/>
      <c r="M48" s="32"/>
    </row>
    <row r="49" spans="1:13" ht="15" customHeight="1">
      <c r="A49" s="30"/>
      <c r="B49" s="33" t="str">
        <f>IF(A49="","",IFERROR(INDEX(품목마스터!$B$2:$B$300,MATCH(A49,품목마스터!$A$2:$A$300,0)),"※미등록"))</f>
        <v/>
      </c>
      <c r="C49" s="30"/>
      <c r="D49" s="33" t="str">
        <f>IF(C49="","",IFERROR(INDEX(협력사마스터!$B$2:$B$300,MATCH(C49,협력사마스터!$A$2:$A$300,0)),"※미등록"))</f>
        <v/>
      </c>
      <c r="E49" s="32"/>
      <c r="F49" s="33" t="str">
        <f>IF(E49="","",IFERROR(INDEX(담당자마스터!$B$2:$B$300,MATCH(E49,담당자마스터!$A$2:$A$300,0)),"※미등록"))</f>
        <v/>
      </c>
      <c r="G49" s="31"/>
      <c r="H49" s="32"/>
      <c r="I49" s="32"/>
      <c r="J49" s="32"/>
      <c r="K49" s="32"/>
      <c r="L49" s="32"/>
      <c r="M49" s="32"/>
    </row>
    <row r="50" spans="1:13" ht="15" customHeight="1">
      <c r="A50" s="30"/>
      <c r="B50" s="33" t="str">
        <f>IF(A50="","",IFERROR(INDEX(품목마스터!$B$2:$B$300,MATCH(A50,품목마스터!$A$2:$A$300,0)),"※미등록"))</f>
        <v/>
      </c>
      <c r="C50" s="30"/>
      <c r="D50" s="33" t="str">
        <f>IF(C50="","",IFERROR(INDEX(협력사마스터!$B$2:$B$300,MATCH(C50,협력사마스터!$A$2:$A$300,0)),"※미등록"))</f>
        <v/>
      </c>
      <c r="E50" s="32"/>
      <c r="F50" s="33" t="str">
        <f>IF(E50="","",IFERROR(INDEX(담당자마스터!$B$2:$B$300,MATCH(E50,담당자마스터!$A$2:$A$300,0)),"※미등록"))</f>
        <v/>
      </c>
      <c r="G50" s="31"/>
      <c r="H50" s="32"/>
      <c r="I50" s="32"/>
      <c r="J50" s="32"/>
      <c r="K50" s="32"/>
      <c r="L50" s="32"/>
      <c r="M50" s="32"/>
    </row>
    <row r="51" spans="1:13" ht="15" customHeight="1">
      <c r="A51" s="30"/>
      <c r="B51" s="33" t="str">
        <f>IF(A51="","",IFERROR(INDEX(품목마스터!$B$2:$B$300,MATCH(A51,품목마스터!$A$2:$A$300,0)),"※미등록"))</f>
        <v/>
      </c>
      <c r="C51" s="30"/>
      <c r="D51" s="33" t="str">
        <f>IF(C51="","",IFERROR(INDEX(협력사마스터!$B$2:$B$300,MATCH(C51,협력사마스터!$A$2:$A$300,0)),"※미등록"))</f>
        <v/>
      </c>
      <c r="E51" s="32"/>
      <c r="F51" s="33" t="str">
        <f>IF(E51="","",IFERROR(INDEX(담당자마스터!$B$2:$B$300,MATCH(E51,담당자마스터!$A$2:$A$300,0)),"※미등록"))</f>
        <v/>
      </c>
      <c r="G51" s="31"/>
      <c r="H51" s="32"/>
      <c r="I51" s="32"/>
      <c r="J51" s="32"/>
      <c r="K51" s="32"/>
      <c r="L51" s="32"/>
      <c r="M51" s="32"/>
    </row>
    <row r="52" spans="1:13" ht="15" customHeight="1">
      <c r="A52" s="30"/>
      <c r="B52" s="33" t="str">
        <f>IF(A52="","",IFERROR(INDEX(품목마스터!$B$2:$B$300,MATCH(A52,품목마스터!$A$2:$A$300,0)),"※미등록"))</f>
        <v/>
      </c>
      <c r="C52" s="30"/>
      <c r="D52" s="33" t="str">
        <f>IF(C52="","",IFERROR(INDEX(협력사마스터!$B$2:$B$300,MATCH(C52,협력사마스터!$A$2:$A$300,0)),"※미등록"))</f>
        <v/>
      </c>
      <c r="E52" s="32"/>
      <c r="F52" s="33" t="str">
        <f>IF(E52="","",IFERROR(INDEX(담당자마스터!$B$2:$B$300,MATCH(E52,담당자마스터!$A$2:$A$300,0)),"※미등록"))</f>
        <v/>
      </c>
      <c r="G52" s="31"/>
      <c r="H52" s="32"/>
      <c r="I52" s="32"/>
      <c r="J52" s="32"/>
      <c r="K52" s="32"/>
      <c r="L52" s="32"/>
      <c r="M52" s="32"/>
    </row>
    <row r="53" spans="1:13" ht="15" customHeight="1">
      <c r="A53" s="30"/>
      <c r="B53" s="33" t="str">
        <f>IF(A53="","",IFERROR(INDEX(품목마스터!$B$2:$B$300,MATCH(A53,품목마스터!$A$2:$A$300,0)),"※미등록"))</f>
        <v/>
      </c>
      <c r="C53" s="30"/>
      <c r="D53" s="33" t="str">
        <f>IF(C53="","",IFERROR(INDEX(협력사마스터!$B$2:$B$300,MATCH(C53,협력사마스터!$A$2:$A$300,0)),"※미등록"))</f>
        <v/>
      </c>
      <c r="E53" s="32"/>
      <c r="F53" s="33" t="str">
        <f>IF(E53="","",IFERROR(INDEX(담당자마스터!$B$2:$B$300,MATCH(E53,담당자마스터!$A$2:$A$300,0)),"※미등록"))</f>
        <v/>
      </c>
      <c r="G53" s="31"/>
      <c r="H53" s="32"/>
      <c r="I53" s="32"/>
      <c r="J53" s="32"/>
      <c r="K53" s="32"/>
      <c r="L53" s="32"/>
      <c r="M53" s="32"/>
    </row>
    <row r="54" spans="1:13" ht="15" customHeight="1">
      <c r="A54" s="30"/>
      <c r="B54" s="33" t="str">
        <f>IF(A54="","",IFERROR(INDEX(품목마스터!$B$2:$B$300,MATCH(A54,품목마스터!$A$2:$A$300,0)),"※미등록"))</f>
        <v/>
      </c>
      <c r="C54" s="30"/>
      <c r="D54" s="33" t="str">
        <f>IF(C54="","",IFERROR(INDEX(협력사마스터!$B$2:$B$300,MATCH(C54,협력사마스터!$A$2:$A$300,0)),"※미등록"))</f>
        <v/>
      </c>
      <c r="E54" s="32"/>
      <c r="F54" s="33" t="str">
        <f>IF(E54="","",IFERROR(INDEX(담당자마스터!$B$2:$B$300,MATCH(E54,담당자마스터!$A$2:$A$300,0)),"※미등록"))</f>
        <v/>
      </c>
      <c r="G54" s="31"/>
      <c r="H54" s="32"/>
      <c r="I54" s="32"/>
      <c r="J54" s="32"/>
      <c r="K54" s="32"/>
      <c r="L54" s="32"/>
      <c r="M54" s="32"/>
    </row>
    <row r="55" spans="1:13" ht="15" customHeight="1">
      <c r="A55" s="30"/>
      <c r="B55" s="33" t="str">
        <f>IF(A55="","",IFERROR(INDEX(품목마스터!$B$2:$B$300,MATCH(A55,품목마스터!$A$2:$A$300,0)),"※미등록"))</f>
        <v/>
      </c>
      <c r="C55" s="30"/>
      <c r="D55" s="33" t="str">
        <f>IF(C55="","",IFERROR(INDEX(협력사마스터!$B$2:$B$300,MATCH(C55,협력사마스터!$A$2:$A$300,0)),"※미등록"))</f>
        <v/>
      </c>
      <c r="E55" s="32"/>
      <c r="F55" s="33" t="str">
        <f>IF(E55="","",IFERROR(INDEX(담당자마스터!$B$2:$B$300,MATCH(E55,담당자마스터!$A$2:$A$300,0)),"※미등록"))</f>
        <v/>
      </c>
      <c r="G55" s="31"/>
      <c r="H55" s="32"/>
      <c r="I55" s="32"/>
      <c r="J55" s="32"/>
      <c r="K55" s="32"/>
      <c r="L55" s="32"/>
      <c r="M55" s="32"/>
    </row>
    <row r="56" spans="1:13" ht="15" customHeight="1">
      <c r="A56" s="30"/>
      <c r="B56" s="33" t="str">
        <f>IF(A56="","",IFERROR(INDEX(품목마스터!$B$2:$B$300,MATCH(A56,품목마스터!$A$2:$A$300,0)),"※미등록"))</f>
        <v/>
      </c>
      <c r="C56" s="30"/>
      <c r="D56" s="33" t="str">
        <f>IF(C56="","",IFERROR(INDEX(협력사마스터!$B$2:$B$300,MATCH(C56,협력사마스터!$A$2:$A$300,0)),"※미등록"))</f>
        <v/>
      </c>
      <c r="E56" s="32"/>
      <c r="F56" s="33" t="str">
        <f>IF(E56="","",IFERROR(INDEX(담당자마스터!$B$2:$B$300,MATCH(E56,담당자마스터!$A$2:$A$300,0)),"※미등록"))</f>
        <v/>
      </c>
      <c r="G56" s="31"/>
      <c r="H56" s="32"/>
      <c r="I56" s="32"/>
      <c r="J56" s="32"/>
      <c r="K56" s="32"/>
      <c r="L56" s="32"/>
      <c r="M56" s="32"/>
    </row>
    <row r="57" spans="1:13" ht="15" customHeight="1">
      <c r="A57" s="30"/>
      <c r="B57" s="33" t="str">
        <f>IF(A57="","",IFERROR(INDEX(품목마스터!$B$2:$B$300,MATCH(A57,품목마스터!$A$2:$A$300,0)),"※미등록"))</f>
        <v/>
      </c>
      <c r="C57" s="30"/>
      <c r="D57" s="33" t="str">
        <f>IF(C57="","",IFERROR(INDEX(협력사마스터!$B$2:$B$300,MATCH(C57,협력사마스터!$A$2:$A$300,0)),"※미등록"))</f>
        <v/>
      </c>
      <c r="E57" s="32"/>
      <c r="F57" s="33" t="str">
        <f>IF(E57="","",IFERROR(INDEX(담당자마스터!$B$2:$B$300,MATCH(E57,담당자마스터!$A$2:$A$300,0)),"※미등록"))</f>
        <v/>
      </c>
      <c r="G57" s="31"/>
      <c r="H57" s="32"/>
      <c r="I57" s="32"/>
      <c r="J57" s="32"/>
      <c r="K57" s="32"/>
      <c r="L57" s="32"/>
      <c r="M57" s="32"/>
    </row>
    <row r="58" spans="1:13" ht="15" customHeight="1">
      <c r="A58" s="30"/>
      <c r="B58" s="33" t="str">
        <f>IF(A58="","",IFERROR(INDEX(품목마스터!$B$2:$B$300,MATCH(A58,품목마스터!$A$2:$A$300,0)),"※미등록"))</f>
        <v/>
      </c>
      <c r="C58" s="30"/>
      <c r="D58" s="33" t="str">
        <f>IF(C58="","",IFERROR(INDEX(협력사마스터!$B$2:$B$300,MATCH(C58,협력사마스터!$A$2:$A$300,0)),"※미등록"))</f>
        <v/>
      </c>
      <c r="E58" s="32"/>
      <c r="F58" s="33" t="str">
        <f>IF(E58="","",IFERROR(INDEX(담당자마스터!$B$2:$B$300,MATCH(E58,담당자마스터!$A$2:$A$300,0)),"※미등록"))</f>
        <v/>
      </c>
      <c r="G58" s="31"/>
      <c r="H58" s="32"/>
      <c r="I58" s="32"/>
      <c r="J58" s="32"/>
      <c r="K58" s="32"/>
      <c r="L58" s="32"/>
      <c r="M58" s="32"/>
    </row>
    <row r="59" spans="1:13" ht="15" customHeight="1">
      <c r="A59" s="30"/>
      <c r="B59" s="33" t="str">
        <f>IF(A59="","",IFERROR(INDEX(품목마스터!$B$2:$B$300,MATCH(A59,품목마스터!$A$2:$A$300,0)),"※미등록"))</f>
        <v/>
      </c>
      <c r="C59" s="30"/>
      <c r="D59" s="33" t="str">
        <f>IF(C59="","",IFERROR(INDEX(협력사마스터!$B$2:$B$300,MATCH(C59,협력사마스터!$A$2:$A$300,0)),"※미등록"))</f>
        <v/>
      </c>
      <c r="E59" s="32"/>
      <c r="F59" s="33" t="str">
        <f>IF(E59="","",IFERROR(INDEX(담당자마스터!$B$2:$B$300,MATCH(E59,담당자마스터!$A$2:$A$300,0)),"※미등록"))</f>
        <v/>
      </c>
      <c r="G59" s="31"/>
      <c r="H59" s="32"/>
      <c r="I59" s="32"/>
      <c r="J59" s="32"/>
      <c r="K59" s="32"/>
      <c r="L59" s="32"/>
      <c r="M59" s="32"/>
    </row>
    <row r="60" spans="1:13" ht="15" customHeight="1">
      <c r="A60" s="30"/>
      <c r="B60" s="33" t="str">
        <f>IF(A60="","",IFERROR(INDEX(품목마스터!$B$2:$B$300,MATCH(A60,품목마스터!$A$2:$A$300,0)),"※미등록"))</f>
        <v/>
      </c>
      <c r="C60" s="30"/>
      <c r="D60" s="33" t="str">
        <f>IF(C60="","",IFERROR(INDEX(협력사마스터!$B$2:$B$300,MATCH(C60,협력사마스터!$A$2:$A$300,0)),"※미등록"))</f>
        <v/>
      </c>
      <c r="E60" s="32"/>
      <c r="F60" s="33" t="str">
        <f>IF(E60="","",IFERROR(INDEX(담당자마스터!$B$2:$B$300,MATCH(E60,담당자마스터!$A$2:$A$300,0)),"※미등록"))</f>
        <v/>
      </c>
      <c r="G60" s="31"/>
      <c r="H60" s="32"/>
      <c r="I60" s="32"/>
      <c r="J60" s="32"/>
      <c r="K60" s="32"/>
      <c r="L60" s="32"/>
      <c r="M60" s="32"/>
    </row>
    <row r="61" spans="1:13" ht="15" customHeight="1">
      <c r="A61" s="30"/>
      <c r="B61" s="33" t="str">
        <f>IF(A61="","",IFERROR(INDEX(품목마스터!$B$2:$B$300,MATCH(A61,품목마스터!$A$2:$A$300,0)),"※미등록"))</f>
        <v/>
      </c>
      <c r="C61" s="30"/>
      <c r="D61" s="33" t="str">
        <f>IF(C61="","",IFERROR(INDEX(협력사마스터!$B$2:$B$300,MATCH(C61,협력사마스터!$A$2:$A$300,0)),"※미등록"))</f>
        <v/>
      </c>
      <c r="E61" s="32"/>
      <c r="F61" s="33" t="str">
        <f>IF(E61="","",IFERROR(INDEX(담당자마스터!$B$2:$B$300,MATCH(E61,담당자마스터!$A$2:$A$300,0)),"※미등록"))</f>
        <v/>
      </c>
      <c r="G61" s="31"/>
      <c r="H61" s="32"/>
      <c r="I61" s="32"/>
      <c r="J61" s="32"/>
      <c r="K61" s="32"/>
      <c r="L61" s="32"/>
      <c r="M61" s="32"/>
    </row>
    <row r="62" spans="1:13" ht="15" customHeight="1">
      <c r="A62" s="30"/>
      <c r="B62" s="33" t="str">
        <f>IF(A62="","",IFERROR(INDEX(품목마스터!$B$2:$B$300,MATCH(A62,품목마스터!$A$2:$A$300,0)),"※미등록"))</f>
        <v/>
      </c>
      <c r="C62" s="30"/>
      <c r="D62" s="33" t="str">
        <f>IF(C62="","",IFERROR(INDEX(협력사마스터!$B$2:$B$300,MATCH(C62,협력사마스터!$A$2:$A$300,0)),"※미등록"))</f>
        <v/>
      </c>
      <c r="E62" s="32"/>
      <c r="F62" s="33" t="str">
        <f>IF(E62="","",IFERROR(INDEX(담당자마스터!$B$2:$B$300,MATCH(E62,담당자마스터!$A$2:$A$300,0)),"※미등록"))</f>
        <v/>
      </c>
      <c r="G62" s="31"/>
      <c r="H62" s="32"/>
      <c r="I62" s="32"/>
      <c r="J62" s="32"/>
      <c r="K62" s="32"/>
      <c r="L62" s="32"/>
      <c r="M62" s="32"/>
    </row>
    <row r="63" spans="1:13" ht="15" customHeight="1">
      <c r="A63" s="30"/>
      <c r="B63" s="33" t="str">
        <f>IF(A63="","",IFERROR(INDEX(품목마스터!$B$2:$B$300,MATCH(A63,품목마스터!$A$2:$A$300,0)),"※미등록"))</f>
        <v/>
      </c>
      <c r="C63" s="30"/>
      <c r="D63" s="33" t="str">
        <f>IF(C63="","",IFERROR(INDEX(협력사마스터!$B$2:$B$300,MATCH(C63,협력사마스터!$A$2:$A$300,0)),"※미등록"))</f>
        <v/>
      </c>
      <c r="E63" s="32"/>
      <c r="F63" s="33" t="str">
        <f>IF(E63="","",IFERROR(INDEX(담당자마스터!$B$2:$B$300,MATCH(E63,담당자마스터!$A$2:$A$300,0)),"※미등록"))</f>
        <v/>
      </c>
      <c r="G63" s="31"/>
      <c r="H63" s="32"/>
      <c r="I63" s="32"/>
      <c r="J63" s="32"/>
      <c r="K63" s="32"/>
      <c r="L63" s="32"/>
      <c r="M63" s="32"/>
    </row>
    <row r="64" spans="1:13" ht="15" customHeight="1">
      <c r="A64" s="30"/>
      <c r="B64" s="33" t="str">
        <f>IF(A64="","",IFERROR(INDEX(품목마스터!$B$2:$B$300,MATCH(A64,품목마스터!$A$2:$A$300,0)),"※미등록"))</f>
        <v/>
      </c>
      <c r="C64" s="30"/>
      <c r="D64" s="33" t="str">
        <f>IF(C64="","",IFERROR(INDEX(협력사마스터!$B$2:$B$300,MATCH(C64,협력사마스터!$A$2:$A$300,0)),"※미등록"))</f>
        <v/>
      </c>
      <c r="E64" s="32"/>
      <c r="F64" s="33" t="str">
        <f>IF(E64="","",IFERROR(INDEX(담당자마스터!$B$2:$B$300,MATCH(E64,담당자마스터!$A$2:$A$300,0)),"※미등록"))</f>
        <v/>
      </c>
      <c r="G64" s="31"/>
      <c r="H64" s="32"/>
      <c r="I64" s="32"/>
      <c r="J64" s="32"/>
      <c r="K64" s="32"/>
      <c r="L64" s="32"/>
      <c r="M64" s="32"/>
    </row>
    <row r="65" spans="1:13" ht="15" customHeight="1">
      <c r="A65" s="30"/>
      <c r="B65" s="33" t="str">
        <f>IF(A65="","",IFERROR(INDEX(품목마스터!$B$2:$B$300,MATCH(A65,품목마스터!$A$2:$A$300,0)),"※미등록"))</f>
        <v/>
      </c>
      <c r="C65" s="30"/>
      <c r="D65" s="33" t="str">
        <f>IF(C65="","",IFERROR(INDEX(협력사마스터!$B$2:$B$300,MATCH(C65,협력사마스터!$A$2:$A$300,0)),"※미등록"))</f>
        <v/>
      </c>
      <c r="E65" s="32"/>
      <c r="F65" s="33" t="str">
        <f>IF(E65="","",IFERROR(INDEX(담당자마스터!$B$2:$B$300,MATCH(E65,담당자마스터!$A$2:$A$300,0)),"※미등록"))</f>
        <v/>
      </c>
      <c r="G65" s="31"/>
      <c r="H65" s="32"/>
      <c r="I65" s="32"/>
      <c r="J65" s="32"/>
      <c r="K65" s="32"/>
      <c r="L65" s="32"/>
      <c r="M65" s="32"/>
    </row>
    <row r="66" spans="1:13" ht="15" customHeight="1">
      <c r="A66" s="30"/>
      <c r="B66" s="33" t="str">
        <f>IF(A66="","",IFERROR(INDEX(품목마스터!$B$2:$B$300,MATCH(A66,품목마스터!$A$2:$A$300,0)),"※미등록"))</f>
        <v/>
      </c>
      <c r="C66" s="30"/>
      <c r="D66" s="33" t="str">
        <f>IF(C66="","",IFERROR(INDEX(협력사마스터!$B$2:$B$300,MATCH(C66,협력사마스터!$A$2:$A$300,0)),"※미등록"))</f>
        <v/>
      </c>
      <c r="E66" s="32"/>
      <c r="F66" s="33" t="str">
        <f>IF(E66="","",IFERROR(INDEX(담당자마스터!$B$2:$B$300,MATCH(E66,담당자마스터!$A$2:$A$300,0)),"※미등록"))</f>
        <v/>
      </c>
      <c r="G66" s="31"/>
      <c r="H66" s="32"/>
      <c r="I66" s="32"/>
      <c r="J66" s="32"/>
      <c r="K66" s="32"/>
      <c r="L66" s="32"/>
      <c r="M66" s="32"/>
    </row>
    <row r="67" spans="1:13" ht="15" customHeight="1">
      <c r="A67" s="30"/>
      <c r="B67" s="33" t="str">
        <f>IF(A67="","",IFERROR(INDEX(품목마스터!$B$2:$B$300,MATCH(A67,품목마스터!$A$2:$A$300,0)),"※미등록"))</f>
        <v/>
      </c>
      <c r="C67" s="30"/>
      <c r="D67" s="33" t="str">
        <f>IF(C67="","",IFERROR(INDEX(협력사마스터!$B$2:$B$300,MATCH(C67,협력사마스터!$A$2:$A$300,0)),"※미등록"))</f>
        <v/>
      </c>
      <c r="E67" s="32"/>
      <c r="F67" s="33" t="str">
        <f>IF(E67="","",IFERROR(INDEX(담당자마스터!$B$2:$B$300,MATCH(E67,담당자마스터!$A$2:$A$300,0)),"※미등록"))</f>
        <v/>
      </c>
      <c r="G67" s="31"/>
      <c r="H67" s="32"/>
      <c r="I67" s="32"/>
      <c r="J67" s="32"/>
      <c r="K67" s="32"/>
      <c r="L67" s="32"/>
      <c r="M67" s="32"/>
    </row>
    <row r="68" spans="1:13" ht="15" customHeight="1">
      <c r="A68" s="30"/>
      <c r="B68" s="33" t="str">
        <f>IF(A68="","",IFERROR(INDEX(품목마스터!$B$2:$B$300,MATCH(A68,품목마스터!$A$2:$A$300,0)),"※미등록"))</f>
        <v/>
      </c>
      <c r="C68" s="30"/>
      <c r="D68" s="33" t="str">
        <f>IF(C68="","",IFERROR(INDEX(협력사마스터!$B$2:$B$300,MATCH(C68,협력사마스터!$A$2:$A$300,0)),"※미등록"))</f>
        <v/>
      </c>
      <c r="E68" s="32"/>
      <c r="F68" s="33" t="str">
        <f>IF(E68="","",IFERROR(INDEX(담당자마스터!$B$2:$B$300,MATCH(E68,담당자마스터!$A$2:$A$300,0)),"※미등록"))</f>
        <v/>
      </c>
      <c r="G68" s="31"/>
      <c r="H68" s="32"/>
      <c r="I68" s="32"/>
      <c r="J68" s="32"/>
      <c r="K68" s="32"/>
      <c r="L68" s="32"/>
      <c r="M68" s="32"/>
    </row>
    <row r="69" spans="1:13" ht="15" customHeight="1">
      <c r="A69" s="30"/>
      <c r="B69" s="33" t="str">
        <f>IF(A69="","",IFERROR(INDEX(품목마스터!$B$2:$B$300,MATCH(A69,품목마스터!$A$2:$A$300,0)),"※미등록"))</f>
        <v/>
      </c>
      <c r="C69" s="30"/>
      <c r="D69" s="33" t="str">
        <f>IF(C69="","",IFERROR(INDEX(협력사마스터!$B$2:$B$300,MATCH(C69,협력사마스터!$A$2:$A$300,0)),"※미등록"))</f>
        <v/>
      </c>
      <c r="E69" s="32"/>
      <c r="F69" s="33" t="str">
        <f>IF(E69="","",IFERROR(INDEX(담당자마스터!$B$2:$B$300,MATCH(E69,담당자마스터!$A$2:$A$300,0)),"※미등록"))</f>
        <v/>
      </c>
      <c r="G69" s="31"/>
      <c r="H69" s="32"/>
      <c r="I69" s="32"/>
      <c r="J69" s="32"/>
      <c r="K69" s="32"/>
      <c r="L69" s="32"/>
      <c r="M69" s="32"/>
    </row>
    <row r="70" spans="1:13" ht="15" customHeight="1">
      <c r="A70" s="30"/>
      <c r="B70" s="33" t="str">
        <f>IF(A70="","",IFERROR(INDEX(품목마스터!$B$2:$B$300,MATCH(A70,품목마스터!$A$2:$A$300,0)),"※미등록"))</f>
        <v/>
      </c>
      <c r="C70" s="30"/>
      <c r="D70" s="33" t="str">
        <f>IF(C70="","",IFERROR(INDEX(협력사마스터!$B$2:$B$300,MATCH(C70,협력사마스터!$A$2:$A$300,0)),"※미등록"))</f>
        <v/>
      </c>
      <c r="E70" s="32"/>
      <c r="F70" s="33" t="str">
        <f>IF(E70="","",IFERROR(INDEX(담당자마스터!$B$2:$B$300,MATCH(E70,담당자마스터!$A$2:$A$300,0)),"※미등록"))</f>
        <v/>
      </c>
      <c r="G70" s="31"/>
      <c r="H70" s="32"/>
      <c r="I70" s="32"/>
      <c r="J70" s="32"/>
      <c r="K70" s="32"/>
      <c r="L70" s="32"/>
      <c r="M70" s="32"/>
    </row>
    <row r="71" spans="1:13" ht="15" customHeight="1">
      <c r="A71" s="30"/>
      <c r="B71" s="33" t="str">
        <f>IF(A71="","",IFERROR(INDEX(품목마스터!$B$2:$B$300,MATCH(A71,품목마스터!$A$2:$A$300,0)),"※미등록"))</f>
        <v/>
      </c>
      <c r="C71" s="30"/>
      <c r="D71" s="33" t="str">
        <f>IF(C71="","",IFERROR(INDEX(협력사마스터!$B$2:$B$300,MATCH(C71,협력사마스터!$A$2:$A$300,0)),"※미등록"))</f>
        <v/>
      </c>
      <c r="E71" s="32"/>
      <c r="F71" s="33" t="str">
        <f>IF(E71="","",IFERROR(INDEX(담당자마스터!$B$2:$B$300,MATCH(E71,담당자마스터!$A$2:$A$300,0)),"※미등록"))</f>
        <v/>
      </c>
      <c r="G71" s="31"/>
      <c r="H71" s="32"/>
      <c r="I71" s="32"/>
      <c r="J71" s="32"/>
      <c r="K71" s="32"/>
      <c r="L71" s="32"/>
      <c r="M71" s="32"/>
    </row>
    <row r="72" spans="1:13" ht="15" customHeight="1">
      <c r="A72" s="30"/>
      <c r="B72" s="33" t="str">
        <f>IF(A72="","",IFERROR(INDEX(품목마스터!$B$2:$B$300,MATCH(A72,품목마스터!$A$2:$A$300,0)),"※미등록"))</f>
        <v/>
      </c>
      <c r="C72" s="30"/>
      <c r="D72" s="33" t="str">
        <f>IF(C72="","",IFERROR(INDEX(협력사마스터!$B$2:$B$300,MATCH(C72,협력사마스터!$A$2:$A$300,0)),"※미등록"))</f>
        <v/>
      </c>
      <c r="E72" s="32"/>
      <c r="F72" s="33" t="str">
        <f>IF(E72="","",IFERROR(INDEX(담당자마스터!$B$2:$B$300,MATCH(E72,담당자마스터!$A$2:$A$300,0)),"※미등록"))</f>
        <v/>
      </c>
      <c r="G72" s="31"/>
      <c r="H72" s="32"/>
      <c r="I72" s="32"/>
      <c r="J72" s="32"/>
      <c r="K72" s="32"/>
      <c r="L72" s="32"/>
      <c r="M72" s="32"/>
    </row>
    <row r="73" spans="1:13" ht="15" customHeight="1">
      <c r="A73" s="30"/>
      <c r="B73" s="33" t="str">
        <f>IF(A73="","",IFERROR(INDEX(품목마스터!$B$2:$B$300,MATCH(A73,품목마스터!$A$2:$A$300,0)),"※미등록"))</f>
        <v/>
      </c>
      <c r="C73" s="30"/>
      <c r="D73" s="33" t="str">
        <f>IF(C73="","",IFERROR(INDEX(협력사마스터!$B$2:$B$300,MATCH(C73,협력사마스터!$A$2:$A$300,0)),"※미등록"))</f>
        <v/>
      </c>
      <c r="E73" s="32"/>
      <c r="F73" s="33" t="str">
        <f>IF(E73="","",IFERROR(INDEX(담당자마스터!$B$2:$B$300,MATCH(E73,담당자마스터!$A$2:$A$300,0)),"※미등록"))</f>
        <v/>
      </c>
      <c r="G73" s="31"/>
      <c r="H73" s="32"/>
      <c r="I73" s="32"/>
      <c r="J73" s="32"/>
      <c r="K73" s="32"/>
      <c r="L73" s="32"/>
      <c r="M73" s="32"/>
    </row>
    <row r="74" spans="1:13" ht="15" customHeight="1">
      <c r="A74" s="30"/>
      <c r="B74" s="33" t="str">
        <f>IF(A74="","",IFERROR(INDEX(품목마스터!$B$2:$B$300,MATCH(A74,품목마스터!$A$2:$A$300,0)),"※미등록"))</f>
        <v/>
      </c>
      <c r="C74" s="30"/>
      <c r="D74" s="33" t="str">
        <f>IF(C74="","",IFERROR(INDEX(협력사마스터!$B$2:$B$300,MATCH(C74,협력사마스터!$A$2:$A$300,0)),"※미등록"))</f>
        <v/>
      </c>
      <c r="E74" s="32"/>
      <c r="F74" s="33" t="str">
        <f>IF(E74="","",IFERROR(INDEX(담당자마스터!$B$2:$B$300,MATCH(E74,담당자마스터!$A$2:$A$300,0)),"※미등록"))</f>
        <v/>
      </c>
      <c r="G74" s="31"/>
      <c r="H74" s="32"/>
      <c r="I74" s="32"/>
      <c r="J74" s="32"/>
      <c r="K74" s="32"/>
      <c r="L74" s="32"/>
      <c r="M74" s="32"/>
    </row>
    <row r="75" spans="1:13" ht="15" customHeight="1">
      <c r="A75" s="30"/>
      <c r="B75" s="33" t="str">
        <f>IF(A75="","",IFERROR(INDEX(품목마스터!$B$2:$B$300,MATCH(A75,품목마스터!$A$2:$A$300,0)),"※미등록"))</f>
        <v/>
      </c>
      <c r="C75" s="30"/>
      <c r="D75" s="33" t="str">
        <f>IF(C75="","",IFERROR(INDEX(협력사마스터!$B$2:$B$300,MATCH(C75,협력사마스터!$A$2:$A$300,0)),"※미등록"))</f>
        <v/>
      </c>
      <c r="E75" s="32"/>
      <c r="F75" s="33" t="str">
        <f>IF(E75="","",IFERROR(INDEX(담당자마스터!$B$2:$B$300,MATCH(E75,담당자마스터!$A$2:$A$300,0)),"※미등록"))</f>
        <v/>
      </c>
      <c r="G75" s="31"/>
      <c r="H75" s="32"/>
      <c r="I75" s="32"/>
      <c r="J75" s="32"/>
      <c r="K75" s="32"/>
      <c r="L75" s="32"/>
      <c r="M75" s="32"/>
    </row>
    <row r="76" spans="1:13" ht="15" customHeight="1">
      <c r="A76" s="30"/>
      <c r="B76" s="33" t="str">
        <f>IF(A76="","",IFERROR(INDEX(품목마스터!$B$2:$B$300,MATCH(A76,품목마스터!$A$2:$A$300,0)),"※미등록"))</f>
        <v/>
      </c>
      <c r="C76" s="30"/>
      <c r="D76" s="33" t="str">
        <f>IF(C76="","",IFERROR(INDEX(협력사마스터!$B$2:$B$300,MATCH(C76,협력사마스터!$A$2:$A$300,0)),"※미등록"))</f>
        <v/>
      </c>
      <c r="E76" s="32"/>
      <c r="F76" s="33" t="str">
        <f>IF(E76="","",IFERROR(INDEX(담당자마스터!$B$2:$B$300,MATCH(E76,담당자마스터!$A$2:$A$300,0)),"※미등록"))</f>
        <v/>
      </c>
      <c r="G76" s="31"/>
      <c r="H76" s="32"/>
      <c r="I76" s="32"/>
      <c r="J76" s="32"/>
      <c r="K76" s="32"/>
      <c r="L76" s="32"/>
      <c r="M76" s="32"/>
    </row>
    <row r="77" spans="1:13" ht="15" customHeight="1">
      <c r="A77" s="30"/>
      <c r="B77" s="33" t="str">
        <f>IF(A77="","",IFERROR(INDEX(품목마스터!$B$2:$B$300,MATCH(A77,품목마스터!$A$2:$A$300,0)),"※미등록"))</f>
        <v/>
      </c>
      <c r="C77" s="30"/>
      <c r="D77" s="33" t="str">
        <f>IF(C77="","",IFERROR(INDEX(협력사마스터!$B$2:$B$300,MATCH(C77,협력사마스터!$A$2:$A$300,0)),"※미등록"))</f>
        <v/>
      </c>
      <c r="E77" s="32"/>
      <c r="F77" s="33" t="str">
        <f>IF(E77="","",IFERROR(INDEX(담당자마스터!$B$2:$B$300,MATCH(E77,담당자마스터!$A$2:$A$300,0)),"※미등록"))</f>
        <v/>
      </c>
      <c r="G77" s="31"/>
      <c r="H77" s="32"/>
      <c r="I77" s="32"/>
      <c r="J77" s="32"/>
      <c r="K77" s="32"/>
      <c r="L77" s="32"/>
      <c r="M77" s="32"/>
    </row>
    <row r="78" spans="1:13" ht="15" customHeight="1">
      <c r="A78" s="30"/>
      <c r="B78" s="33" t="str">
        <f>IF(A78="","",IFERROR(INDEX(품목마스터!$B$2:$B$300,MATCH(A78,품목마스터!$A$2:$A$300,0)),"※미등록"))</f>
        <v/>
      </c>
      <c r="C78" s="30"/>
      <c r="D78" s="33" t="str">
        <f>IF(C78="","",IFERROR(INDEX(협력사마스터!$B$2:$B$300,MATCH(C78,협력사마스터!$A$2:$A$300,0)),"※미등록"))</f>
        <v/>
      </c>
      <c r="E78" s="32"/>
      <c r="F78" s="33" t="str">
        <f>IF(E78="","",IFERROR(INDEX(담당자마스터!$B$2:$B$300,MATCH(E78,담당자마스터!$A$2:$A$300,0)),"※미등록"))</f>
        <v/>
      </c>
      <c r="G78" s="31"/>
      <c r="H78" s="32"/>
      <c r="I78" s="32"/>
      <c r="J78" s="32"/>
      <c r="K78" s="32"/>
      <c r="L78" s="32"/>
      <c r="M78" s="32"/>
    </row>
    <row r="79" spans="1:13" ht="15" customHeight="1">
      <c r="A79" s="30"/>
      <c r="B79" s="33" t="str">
        <f>IF(A79="","",IFERROR(INDEX(품목마스터!$B$2:$B$300,MATCH(A79,품목마스터!$A$2:$A$300,0)),"※미등록"))</f>
        <v/>
      </c>
      <c r="C79" s="30"/>
      <c r="D79" s="33" t="str">
        <f>IF(C79="","",IFERROR(INDEX(협력사마스터!$B$2:$B$300,MATCH(C79,협력사마스터!$A$2:$A$300,0)),"※미등록"))</f>
        <v/>
      </c>
      <c r="E79" s="32"/>
      <c r="F79" s="33" t="str">
        <f>IF(E79="","",IFERROR(INDEX(담당자마스터!$B$2:$B$300,MATCH(E79,담당자마스터!$A$2:$A$300,0)),"※미등록"))</f>
        <v/>
      </c>
      <c r="G79" s="31"/>
      <c r="H79" s="32"/>
      <c r="I79" s="32"/>
      <c r="J79" s="32"/>
      <c r="K79" s="32"/>
      <c r="L79" s="32"/>
      <c r="M79" s="32"/>
    </row>
    <row r="80" spans="1:13" ht="15" customHeight="1">
      <c r="A80" s="30"/>
      <c r="B80" s="33" t="str">
        <f>IF(A80="","",IFERROR(INDEX(품목마스터!$B$2:$B$300,MATCH(A80,품목마스터!$A$2:$A$300,0)),"※미등록"))</f>
        <v/>
      </c>
      <c r="C80" s="30"/>
      <c r="D80" s="33" t="str">
        <f>IF(C80="","",IFERROR(INDEX(협력사마스터!$B$2:$B$300,MATCH(C80,협력사마스터!$A$2:$A$300,0)),"※미등록"))</f>
        <v/>
      </c>
      <c r="E80" s="32"/>
      <c r="F80" s="33" t="str">
        <f>IF(E80="","",IFERROR(INDEX(담당자마스터!$B$2:$B$300,MATCH(E80,담당자마스터!$A$2:$A$300,0)),"※미등록"))</f>
        <v/>
      </c>
      <c r="G80" s="31"/>
      <c r="H80" s="32"/>
      <c r="I80" s="32"/>
      <c r="J80" s="32"/>
      <c r="K80" s="32"/>
      <c r="L80" s="32"/>
      <c r="M80" s="32"/>
    </row>
    <row r="81" spans="1:13" ht="15" customHeight="1">
      <c r="A81" s="30"/>
      <c r="B81" s="33" t="str">
        <f>IF(A81="","",IFERROR(INDEX(품목마스터!$B$2:$B$300,MATCH(A81,품목마스터!$A$2:$A$300,0)),"※미등록"))</f>
        <v/>
      </c>
      <c r="C81" s="30"/>
      <c r="D81" s="33" t="str">
        <f>IF(C81="","",IFERROR(INDEX(협력사마스터!$B$2:$B$300,MATCH(C81,협력사마스터!$A$2:$A$300,0)),"※미등록"))</f>
        <v/>
      </c>
      <c r="E81" s="32"/>
      <c r="F81" s="33" t="str">
        <f>IF(E81="","",IFERROR(INDEX(담당자마스터!$B$2:$B$300,MATCH(E81,담당자마스터!$A$2:$A$300,0)),"※미등록"))</f>
        <v/>
      </c>
      <c r="G81" s="31"/>
      <c r="H81" s="32"/>
      <c r="I81" s="32"/>
      <c r="J81" s="32"/>
      <c r="K81" s="32"/>
      <c r="L81" s="32"/>
      <c r="M81" s="32"/>
    </row>
    <row r="82" spans="1:13" ht="15" customHeight="1">
      <c r="A82" s="30"/>
      <c r="B82" s="33" t="str">
        <f>IF(A82="","",IFERROR(INDEX(품목마스터!$B$2:$B$300,MATCH(A82,품목마스터!$A$2:$A$300,0)),"※미등록"))</f>
        <v/>
      </c>
      <c r="C82" s="30"/>
      <c r="D82" s="33" t="str">
        <f>IF(C82="","",IFERROR(INDEX(협력사마스터!$B$2:$B$300,MATCH(C82,협력사마스터!$A$2:$A$300,0)),"※미등록"))</f>
        <v/>
      </c>
      <c r="E82" s="32"/>
      <c r="F82" s="33" t="str">
        <f>IF(E82="","",IFERROR(INDEX(담당자마스터!$B$2:$B$300,MATCH(E82,담당자마스터!$A$2:$A$300,0)),"※미등록"))</f>
        <v/>
      </c>
      <c r="G82" s="31"/>
      <c r="H82" s="32"/>
      <c r="I82" s="32"/>
      <c r="J82" s="32"/>
      <c r="K82" s="32"/>
      <c r="L82" s="32"/>
      <c r="M82" s="32"/>
    </row>
    <row r="83" spans="1:13" ht="15" customHeight="1">
      <c r="A83" s="30"/>
      <c r="B83" s="33" t="str">
        <f>IF(A83="","",IFERROR(INDEX(품목마스터!$B$2:$B$300,MATCH(A83,품목마스터!$A$2:$A$300,0)),"※미등록"))</f>
        <v/>
      </c>
      <c r="C83" s="30"/>
      <c r="D83" s="33" t="str">
        <f>IF(C83="","",IFERROR(INDEX(협력사마스터!$B$2:$B$300,MATCH(C83,협력사마스터!$A$2:$A$300,0)),"※미등록"))</f>
        <v/>
      </c>
      <c r="E83" s="32"/>
      <c r="F83" s="33" t="str">
        <f>IF(E83="","",IFERROR(INDEX(담당자마스터!$B$2:$B$300,MATCH(E83,담당자마스터!$A$2:$A$300,0)),"※미등록"))</f>
        <v/>
      </c>
      <c r="G83" s="31"/>
      <c r="H83" s="32"/>
      <c r="I83" s="32"/>
      <c r="J83" s="32"/>
      <c r="K83" s="32"/>
      <c r="L83" s="32"/>
      <c r="M83" s="32"/>
    </row>
    <row r="84" spans="1:13" ht="15" customHeight="1">
      <c r="A84" s="30"/>
      <c r="B84" s="33" t="str">
        <f>IF(A84="","",IFERROR(INDEX(품목마스터!$B$2:$B$300,MATCH(A84,품목마스터!$A$2:$A$300,0)),"※미등록"))</f>
        <v/>
      </c>
      <c r="C84" s="30"/>
      <c r="D84" s="33" t="str">
        <f>IF(C84="","",IFERROR(INDEX(협력사마스터!$B$2:$B$300,MATCH(C84,협력사마스터!$A$2:$A$300,0)),"※미등록"))</f>
        <v/>
      </c>
      <c r="E84" s="32"/>
      <c r="F84" s="33" t="str">
        <f>IF(E84="","",IFERROR(INDEX(담당자마스터!$B$2:$B$300,MATCH(E84,담당자마스터!$A$2:$A$300,0)),"※미등록"))</f>
        <v/>
      </c>
      <c r="G84" s="31"/>
      <c r="H84" s="32"/>
      <c r="I84" s="32"/>
      <c r="J84" s="32"/>
      <c r="K84" s="32"/>
      <c r="L84" s="32"/>
      <c r="M84" s="32"/>
    </row>
    <row r="85" spans="1:13" ht="15" customHeight="1">
      <c r="A85" s="30"/>
      <c r="B85" s="33" t="str">
        <f>IF(A85="","",IFERROR(INDEX(품목마스터!$B$2:$B$300,MATCH(A85,품목마스터!$A$2:$A$300,0)),"※미등록"))</f>
        <v/>
      </c>
      <c r="C85" s="30"/>
      <c r="D85" s="33" t="str">
        <f>IF(C85="","",IFERROR(INDEX(협력사마스터!$B$2:$B$300,MATCH(C85,협력사마스터!$A$2:$A$300,0)),"※미등록"))</f>
        <v/>
      </c>
      <c r="E85" s="32"/>
      <c r="F85" s="33" t="str">
        <f>IF(E85="","",IFERROR(INDEX(담당자마스터!$B$2:$B$300,MATCH(E85,담당자마스터!$A$2:$A$300,0)),"※미등록"))</f>
        <v/>
      </c>
      <c r="G85" s="31"/>
      <c r="H85" s="32"/>
      <c r="I85" s="32"/>
      <c r="J85" s="32"/>
      <c r="K85" s="32"/>
      <c r="L85" s="32"/>
      <c r="M85" s="32"/>
    </row>
    <row r="86" spans="1:13" ht="15" customHeight="1">
      <c r="A86" s="30"/>
      <c r="B86" s="33" t="str">
        <f>IF(A86="","",IFERROR(INDEX(품목마스터!$B$2:$B$300,MATCH(A86,품목마스터!$A$2:$A$300,0)),"※미등록"))</f>
        <v/>
      </c>
      <c r="C86" s="30"/>
      <c r="D86" s="33" t="str">
        <f>IF(C86="","",IFERROR(INDEX(협력사마스터!$B$2:$B$300,MATCH(C86,협력사마스터!$A$2:$A$300,0)),"※미등록"))</f>
        <v/>
      </c>
      <c r="E86" s="32"/>
      <c r="F86" s="33" t="str">
        <f>IF(E86="","",IFERROR(INDEX(담당자마스터!$B$2:$B$300,MATCH(E86,담당자마스터!$A$2:$A$300,0)),"※미등록"))</f>
        <v/>
      </c>
      <c r="G86" s="31"/>
      <c r="H86" s="32"/>
      <c r="I86" s="32"/>
      <c r="J86" s="32"/>
      <c r="K86" s="32"/>
      <c r="L86" s="32"/>
      <c r="M86" s="32"/>
    </row>
    <row r="87" spans="1:13" ht="15" customHeight="1">
      <c r="A87" s="30"/>
      <c r="B87" s="33" t="str">
        <f>IF(A87="","",IFERROR(INDEX(품목마스터!$B$2:$B$300,MATCH(A87,품목마스터!$A$2:$A$300,0)),"※미등록"))</f>
        <v/>
      </c>
      <c r="C87" s="30"/>
      <c r="D87" s="33" t="str">
        <f>IF(C87="","",IFERROR(INDEX(협력사마스터!$B$2:$B$300,MATCH(C87,협력사마스터!$A$2:$A$300,0)),"※미등록"))</f>
        <v/>
      </c>
      <c r="E87" s="32"/>
      <c r="F87" s="33" t="str">
        <f>IF(E87="","",IFERROR(INDEX(담당자마스터!$B$2:$B$300,MATCH(E87,담당자마스터!$A$2:$A$300,0)),"※미등록"))</f>
        <v/>
      </c>
      <c r="G87" s="31"/>
      <c r="H87" s="32"/>
      <c r="I87" s="32"/>
      <c r="J87" s="32"/>
      <c r="K87" s="32"/>
      <c r="L87" s="32"/>
      <c r="M87" s="32"/>
    </row>
    <row r="88" spans="1:13" ht="15" customHeight="1">
      <c r="A88" s="30"/>
      <c r="B88" s="33" t="str">
        <f>IF(A88="","",IFERROR(INDEX(품목마스터!$B$2:$B$300,MATCH(A88,품목마스터!$A$2:$A$300,0)),"※미등록"))</f>
        <v/>
      </c>
      <c r="C88" s="30"/>
      <c r="D88" s="33" t="str">
        <f>IF(C88="","",IFERROR(INDEX(협력사마스터!$B$2:$B$300,MATCH(C88,협력사마스터!$A$2:$A$300,0)),"※미등록"))</f>
        <v/>
      </c>
      <c r="E88" s="32"/>
      <c r="F88" s="33" t="str">
        <f>IF(E88="","",IFERROR(INDEX(담당자마스터!$B$2:$B$300,MATCH(E88,담당자마스터!$A$2:$A$300,0)),"※미등록"))</f>
        <v/>
      </c>
      <c r="G88" s="31"/>
      <c r="H88" s="32"/>
      <c r="I88" s="32"/>
      <c r="J88" s="32"/>
      <c r="K88" s="32"/>
      <c r="L88" s="32"/>
      <c r="M88" s="32"/>
    </row>
    <row r="89" spans="1:13" ht="15" customHeight="1">
      <c r="A89" s="30"/>
      <c r="B89" s="33" t="str">
        <f>IF(A89="","",IFERROR(INDEX(품목마스터!$B$2:$B$300,MATCH(A89,품목마스터!$A$2:$A$300,0)),"※미등록"))</f>
        <v/>
      </c>
      <c r="C89" s="30"/>
      <c r="D89" s="33" t="str">
        <f>IF(C89="","",IFERROR(INDEX(협력사마스터!$B$2:$B$300,MATCH(C89,협력사마스터!$A$2:$A$300,0)),"※미등록"))</f>
        <v/>
      </c>
      <c r="E89" s="32"/>
      <c r="F89" s="33" t="str">
        <f>IF(E89="","",IFERROR(INDEX(담당자마스터!$B$2:$B$300,MATCH(E89,담당자마스터!$A$2:$A$300,0)),"※미등록"))</f>
        <v/>
      </c>
      <c r="G89" s="31"/>
      <c r="H89" s="32"/>
      <c r="I89" s="32"/>
      <c r="J89" s="32"/>
      <c r="K89" s="32"/>
      <c r="L89" s="32"/>
      <c r="M89" s="32"/>
    </row>
    <row r="90" spans="1:13" ht="15" customHeight="1">
      <c r="A90" s="30"/>
      <c r="B90" s="33" t="str">
        <f>IF(A90="","",IFERROR(INDEX(품목마스터!$B$2:$B$300,MATCH(A90,품목마스터!$A$2:$A$300,0)),"※미등록"))</f>
        <v/>
      </c>
      <c r="C90" s="30"/>
      <c r="D90" s="33" t="str">
        <f>IF(C90="","",IFERROR(INDEX(협력사마스터!$B$2:$B$300,MATCH(C90,협력사마스터!$A$2:$A$300,0)),"※미등록"))</f>
        <v/>
      </c>
      <c r="E90" s="32"/>
      <c r="F90" s="33" t="str">
        <f>IF(E90="","",IFERROR(INDEX(담당자마스터!$B$2:$B$300,MATCH(E90,담당자마스터!$A$2:$A$300,0)),"※미등록"))</f>
        <v/>
      </c>
      <c r="G90" s="31"/>
      <c r="H90" s="32"/>
      <c r="I90" s="32"/>
      <c r="J90" s="32"/>
      <c r="K90" s="32"/>
      <c r="L90" s="32"/>
      <c r="M90" s="32"/>
    </row>
    <row r="91" spans="1:13" ht="15" customHeight="1">
      <c r="A91" s="30"/>
      <c r="B91" s="33" t="str">
        <f>IF(A91="","",IFERROR(INDEX(품목마스터!$B$2:$B$300,MATCH(A91,품목마스터!$A$2:$A$300,0)),"※미등록"))</f>
        <v/>
      </c>
      <c r="C91" s="30"/>
      <c r="D91" s="33" t="str">
        <f>IF(C91="","",IFERROR(INDEX(협력사마스터!$B$2:$B$300,MATCH(C91,협력사마스터!$A$2:$A$300,0)),"※미등록"))</f>
        <v/>
      </c>
      <c r="E91" s="32"/>
      <c r="F91" s="33" t="str">
        <f>IF(E91="","",IFERROR(INDEX(담당자마스터!$B$2:$B$300,MATCH(E91,담당자마스터!$A$2:$A$300,0)),"※미등록"))</f>
        <v/>
      </c>
      <c r="G91" s="31"/>
      <c r="H91" s="32"/>
      <c r="I91" s="32"/>
      <c r="J91" s="32"/>
      <c r="K91" s="32"/>
      <c r="L91" s="32"/>
      <c r="M91" s="32"/>
    </row>
    <row r="92" spans="1:13" ht="15" customHeight="1">
      <c r="A92" s="30"/>
      <c r="B92" s="33" t="str">
        <f>IF(A92="","",IFERROR(INDEX(품목마스터!$B$2:$B$300,MATCH(A92,품목마스터!$A$2:$A$300,0)),"※미등록"))</f>
        <v/>
      </c>
      <c r="C92" s="30"/>
      <c r="D92" s="33" t="str">
        <f>IF(C92="","",IFERROR(INDEX(협력사마스터!$B$2:$B$300,MATCH(C92,협력사마스터!$A$2:$A$300,0)),"※미등록"))</f>
        <v/>
      </c>
      <c r="E92" s="32"/>
      <c r="F92" s="33" t="str">
        <f>IF(E92="","",IFERROR(INDEX(담당자마스터!$B$2:$B$300,MATCH(E92,담당자마스터!$A$2:$A$300,0)),"※미등록"))</f>
        <v/>
      </c>
      <c r="G92" s="31"/>
      <c r="H92" s="32"/>
      <c r="I92" s="32"/>
      <c r="J92" s="32"/>
      <c r="K92" s="32"/>
      <c r="L92" s="32"/>
      <c r="M92" s="32"/>
    </row>
    <row r="93" spans="1:13" ht="15" customHeight="1">
      <c r="A93" s="30"/>
      <c r="B93" s="33" t="str">
        <f>IF(A93="","",IFERROR(INDEX(품목마스터!$B$2:$B$300,MATCH(A93,품목마스터!$A$2:$A$300,0)),"※미등록"))</f>
        <v/>
      </c>
      <c r="C93" s="30"/>
      <c r="D93" s="33" t="str">
        <f>IF(C93="","",IFERROR(INDEX(협력사마스터!$B$2:$B$300,MATCH(C93,협력사마스터!$A$2:$A$300,0)),"※미등록"))</f>
        <v/>
      </c>
      <c r="E93" s="32"/>
      <c r="F93" s="33" t="str">
        <f>IF(E93="","",IFERROR(INDEX(담당자마스터!$B$2:$B$300,MATCH(E93,담당자마스터!$A$2:$A$300,0)),"※미등록"))</f>
        <v/>
      </c>
      <c r="G93" s="31"/>
      <c r="H93" s="32"/>
      <c r="I93" s="32"/>
      <c r="J93" s="32"/>
      <c r="K93" s="32"/>
      <c r="L93" s="32"/>
      <c r="M93" s="32"/>
    </row>
    <row r="94" spans="1:13" ht="15" customHeight="1">
      <c r="A94" s="30"/>
      <c r="B94" s="33" t="str">
        <f>IF(A94="","",IFERROR(INDEX(품목마스터!$B$2:$B$300,MATCH(A94,품목마스터!$A$2:$A$300,0)),"※미등록"))</f>
        <v/>
      </c>
      <c r="C94" s="30"/>
      <c r="D94" s="33" t="str">
        <f>IF(C94="","",IFERROR(INDEX(협력사마스터!$B$2:$B$300,MATCH(C94,협력사마스터!$A$2:$A$300,0)),"※미등록"))</f>
        <v/>
      </c>
      <c r="E94" s="32"/>
      <c r="F94" s="33" t="str">
        <f>IF(E94="","",IFERROR(INDEX(담당자마스터!$B$2:$B$300,MATCH(E94,담당자마스터!$A$2:$A$300,0)),"※미등록"))</f>
        <v/>
      </c>
      <c r="G94" s="31"/>
      <c r="H94" s="32"/>
      <c r="I94" s="32"/>
      <c r="J94" s="32"/>
      <c r="K94" s="32"/>
      <c r="L94" s="32"/>
      <c r="M94" s="32"/>
    </row>
    <row r="95" spans="1:13" ht="15" customHeight="1">
      <c r="A95" s="30"/>
      <c r="B95" s="33" t="str">
        <f>IF(A95="","",IFERROR(INDEX(품목마스터!$B$2:$B$300,MATCH(A95,품목마스터!$A$2:$A$300,0)),"※미등록"))</f>
        <v/>
      </c>
      <c r="C95" s="30"/>
      <c r="D95" s="33" t="str">
        <f>IF(C95="","",IFERROR(INDEX(협력사마스터!$B$2:$B$300,MATCH(C95,협력사마스터!$A$2:$A$300,0)),"※미등록"))</f>
        <v/>
      </c>
      <c r="E95" s="32"/>
      <c r="F95" s="33" t="str">
        <f>IF(E95="","",IFERROR(INDEX(담당자마스터!$B$2:$B$300,MATCH(E95,담당자마스터!$A$2:$A$300,0)),"※미등록"))</f>
        <v/>
      </c>
      <c r="G95" s="31"/>
      <c r="H95" s="32"/>
      <c r="I95" s="32"/>
      <c r="J95" s="32"/>
      <c r="K95" s="32"/>
      <c r="L95" s="32"/>
      <c r="M95" s="32"/>
    </row>
    <row r="96" spans="1:13" ht="15" customHeight="1">
      <c r="A96" s="30"/>
      <c r="B96" s="33" t="str">
        <f>IF(A96="","",IFERROR(INDEX(품목마스터!$B$2:$B$300,MATCH(A96,품목마스터!$A$2:$A$300,0)),"※미등록"))</f>
        <v/>
      </c>
      <c r="C96" s="30"/>
      <c r="D96" s="33" t="str">
        <f>IF(C96="","",IFERROR(INDEX(협력사마스터!$B$2:$B$300,MATCH(C96,협력사마스터!$A$2:$A$300,0)),"※미등록"))</f>
        <v/>
      </c>
      <c r="E96" s="32"/>
      <c r="F96" s="33" t="str">
        <f>IF(E96="","",IFERROR(INDEX(담당자마스터!$B$2:$B$300,MATCH(E96,담당자마스터!$A$2:$A$300,0)),"※미등록"))</f>
        <v/>
      </c>
      <c r="G96" s="31"/>
      <c r="H96" s="32"/>
      <c r="I96" s="32"/>
      <c r="J96" s="32"/>
      <c r="K96" s="32"/>
      <c r="L96" s="32"/>
      <c r="M96" s="32"/>
    </row>
    <row r="97" spans="1:13" ht="15" customHeight="1">
      <c r="A97" s="30"/>
      <c r="B97" s="33" t="str">
        <f>IF(A97="","",IFERROR(INDEX(품목마스터!$B$2:$B$300,MATCH(A97,품목마스터!$A$2:$A$300,0)),"※미등록"))</f>
        <v/>
      </c>
      <c r="C97" s="30"/>
      <c r="D97" s="33" t="str">
        <f>IF(C97="","",IFERROR(INDEX(협력사마스터!$B$2:$B$300,MATCH(C97,협력사마스터!$A$2:$A$300,0)),"※미등록"))</f>
        <v/>
      </c>
      <c r="E97" s="32"/>
      <c r="F97" s="33" t="str">
        <f>IF(E97="","",IFERROR(INDEX(담당자마스터!$B$2:$B$300,MATCH(E97,담당자마스터!$A$2:$A$300,0)),"※미등록"))</f>
        <v/>
      </c>
      <c r="G97" s="31"/>
      <c r="H97" s="32"/>
      <c r="I97" s="32"/>
      <c r="J97" s="32"/>
      <c r="K97" s="32"/>
      <c r="L97" s="32"/>
      <c r="M97" s="32"/>
    </row>
    <row r="98" spans="1:13" ht="15" customHeight="1">
      <c r="A98" s="30"/>
      <c r="B98" s="33" t="str">
        <f>IF(A98="","",IFERROR(INDEX(품목마스터!$B$2:$B$300,MATCH(A98,품목마스터!$A$2:$A$300,0)),"※미등록"))</f>
        <v/>
      </c>
      <c r="C98" s="30"/>
      <c r="D98" s="33" t="str">
        <f>IF(C98="","",IFERROR(INDEX(협력사마스터!$B$2:$B$300,MATCH(C98,협력사마스터!$A$2:$A$300,0)),"※미등록"))</f>
        <v/>
      </c>
      <c r="E98" s="32"/>
      <c r="F98" s="33" t="str">
        <f>IF(E98="","",IFERROR(INDEX(담당자마스터!$B$2:$B$300,MATCH(E98,담당자마스터!$A$2:$A$300,0)),"※미등록"))</f>
        <v/>
      </c>
      <c r="G98" s="31"/>
      <c r="H98" s="32"/>
      <c r="I98" s="32"/>
      <c r="J98" s="32"/>
      <c r="K98" s="32"/>
      <c r="L98" s="32"/>
      <c r="M98" s="32"/>
    </row>
    <row r="99" spans="1:13" ht="15" customHeight="1">
      <c r="A99" s="30"/>
      <c r="B99" s="33" t="str">
        <f>IF(A99="","",IFERROR(INDEX(품목마스터!$B$2:$B$300,MATCH(A99,품목마스터!$A$2:$A$300,0)),"※미등록"))</f>
        <v/>
      </c>
      <c r="C99" s="30"/>
      <c r="D99" s="33" t="str">
        <f>IF(C99="","",IFERROR(INDEX(협력사마스터!$B$2:$B$300,MATCH(C99,협력사마스터!$A$2:$A$300,0)),"※미등록"))</f>
        <v/>
      </c>
      <c r="E99" s="32"/>
      <c r="F99" s="33" t="str">
        <f>IF(E99="","",IFERROR(INDEX(담당자마스터!$B$2:$B$300,MATCH(E99,담당자마스터!$A$2:$A$300,0)),"※미등록"))</f>
        <v/>
      </c>
      <c r="G99" s="31"/>
      <c r="H99" s="32"/>
      <c r="I99" s="32"/>
      <c r="J99" s="32"/>
      <c r="K99" s="32"/>
      <c r="L99" s="32"/>
      <c r="M99" s="32"/>
    </row>
    <row r="100" spans="1:13" ht="15" customHeight="1">
      <c r="A100" s="30"/>
      <c r="B100" s="33" t="str">
        <f>IF(A100="","",IFERROR(INDEX(품목마스터!$B$2:$B$300,MATCH(A100,품목마스터!$A$2:$A$300,0)),"※미등록"))</f>
        <v/>
      </c>
      <c r="C100" s="30"/>
      <c r="D100" s="33" t="str">
        <f>IF(C100="","",IFERROR(INDEX(협력사마스터!$B$2:$B$300,MATCH(C100,협력사마스터!$A$2:$A$300,0)),"※미등록"))</f>
        <v/>
      </c>
      <c r="E100" s="32"/>
      <c r="F100" s="33" t="str">
        <f>IF(E100="","",IFERROR(INDEX(담당자마스터!$B$2:$B$300,MATCH(E100,담당자마스터!$A$2:$A$300,0)),"※미등록"))</f>
        <v/>
      </c>
      <c r="G100" s="31"/>
      <c r="H100" s="32"/>
      <c r="I100" s="32"/>
      <c r="J100" s="32"/>
      <c r="K100" s="32"/>
      <c r="L100" s="32"/>
      <c r="M100" s="32"/>
    </row>
    <row r="101" spans="1:13" ht="15" customHeight="1">
      <c r="A101" s="30"/>
      <c r="B101" s="33" t="str">
        <f>IF(A101="","",IFERROR(INDEX(품목마스터!$B$2:$B$300,MATCH(A101,품목마스터!$A$2:$A$300,0)),"※미등록"))</f>
        <v/>
      </c>
      <c r="C101" s="30"/>
      <c r="D101" s="33" t="str">
        <f>IF(C101="","",IFERROR(INDEX(협력사마스터!$B$2:$B$300,MATCH(C101,협력사마스터!$A$2:$A$300,0)),"※미등록"))</f>
        <v/>
      </c>
      <c r="E101" s="32"/>
      <c r="F101" s="33" t="str">
        <f>IF(E101="","",IFERROR(INDEX(담당자마스터!$B$2:$B$300,MATCH(E101,담당자마스터!$A$2:$A$300,0)),"※미등록"))</f>
        <v/>
      </c>
      <c r="G101" s="31"/>
      <c r="H101" s="32"/>
      <c r="I101" s="32"/>
      <c r="J101" s="32"/>
      <c r="K101" s="32"/>
      <c r="L101" s="32"/>
      <c r="M101" s="32"/>
    </row>
    <row r="102" spans="1:13" ht="15" customHeight="1">
      <c r="A102" s="30"/>
      <c r="B102" s="33" t="str">
        <f>IF(A102="","",IFERROR(INDEX(품목마스터!$B$2:$B$300,MATCH(A102,품목마스터!$A$2:$A$300,0)),"※미등록"))</f>
        <v/>
      </c>
      <c r="C102" s="30"/>
      <c r="D102" s="33" t="str">
        <f>IF(C102="","",IFERROR(INDEX(협력사마스터!$B$2:$B$300,MATCH(C102,협력사마스터!$A$2:$A$300,0)),"※미등록"))</f>
        <v/>
      </c>
      <c r="E102" s="32"/>
      <c r="F102" s="33" t="str">
        <f>IF(E102="","",IFERROR(INDEX(담당자마스터!$B$2:$B$300,MATCH(E102,담당자마스터!$A$2:$A$300,0)),"※미등록"))</f>
        <v/>
      </c>
      <c r="G102" s="31"/>
      <c r="H102" s="32"/>
      <c r="I102" s="32"/>
      <c r="J102" s="32"/>
      <c r="K102" s="32"/>
      <c r="L102" s="32"/>
      <c r="M102" s="32"/>
    </row>
    <row r="103" spans="1:13" ht="15" customHeight="1">
      <c r="A103" s="30"/>
      <c r="B103" s="33" t="str">
        <f>IF(A103="","",IFERROR(INDEX(품목마스터!$B$2:$B$300,MATCH(A103,품목마스터!$A$2:$A$300,0)),"※미등록"))</f>
        <v/>
      </c>
      <c r="C103" s="30"/>
      <c r="D103" s="33" t="str">
        <f>IF(C103="","",IFERROR(INDEX(협력사마스터!$B$2:$B$300,MATCH(C103,협력사마스터!$A$2:$A$300,0)),"※미등록"))</f>
        <v/>
      </c>
      <c r="E103" s="32"/>
      <c r="F103" s="33" t="str">
        <f>IF(E103="","",IFERROR(INDEX(담당자마스터!$B$2:$B$300,MATCH(E103,담당자마스터!$A$2:$A$300,0)),"※미등록"))</f>
        <v/>
      </c>
      <c r="G103" s="31"/>
      <c r="H103" s="32"/>
      <c r="I103" s="32"/>
      <c r="J103" s="32"/>
      <c r="K103" s="32"/>
      <c r="L103" s="32"/>
      <c r="M103" s="32"/>
    </row>
    <row r="104" spans="1:13" ht="15" customHeight="1">
      <c r="A104" s="30"/>
      <c r="B104" s="33" t="str">
        <f>IF(A104="","",IFERROR(INDEX(품목마스터!$B$2:$B$300,MATCH(A104,품목마스터!$A$2:$A$300,0)),"※미등록"))</f>
        <v/>
      </c>
      <c r="C104" s="30"/>
      <c r="D104" s="33" t="str">
        <f>IF(C104="","",IFERROR(INDEX(협력사마스터!$B$2:$B$300,MATCH(C104,협력사마스터!$A$2:$A$300,0)),"※미등록"))</f>
        <v/>
      </c>
      <c r="E104" s="32"/>
      <c r="F104" s="33" t="str">
        <f>IF(E104="","",IFERROR(INDEX(담당자마스터!$B$2:$B$300,MATCH(E104,담당자마스터!$A$2:$A$300,0)),"※미등록"))</f>
        <v/>
      </c>
      <c r="G104" s="31"/>
      <c r="H104" s="32"/>
      <c r="I104" s="32"/>
      <c r="J104" s="32"/>
      <c r="K104" s="32"/>
      <c r="L104" s="32"/>
      <c r="M104" s="32"/>
    </row>
    <row r="105" spans="1:13" ht="15" customHeight="1">
      <c r="A105" s="30"/>
      <c r="B105" s="33" t="str">
        <f>IF(A105="","",IFERROR(INDEX(품목마스터!$B$2:$B$300,MATCH(A105,품목마스터!$A$2:$A$300,0)),"※미등록"))</f>
        <v/>
      </c>
      <c r="C105" s="30"/>
      <c r="D105" s="33" t="str">
        <f>IF(C105="","",IFERROR(INDEX(협력사마스터!$B$2:$B$300,MATCH(C105,협력사마스터!$A$2:$A$300,0)),"※미등록"))</f>
        <v/>
      </c>
      <c r="E105" s="32"/>
      <c r="F105" s="33" t="str">
        <f>IF(E105="","",IFERROR(INDEX(담당자마스터!$B$2:$B$300,MATCH(E105,담당자마스터!$A$2:$A$300,0)),"※미등록"))</f>
        <v/>
      </c>
      <c r="G105" s="31"/>
      <c r="H105" s="32"/>
      <c r="I105" s="32"/>
      <c r="J105" s="32"/>
      <c r="K105" s="32"/>
      <c r="L105" s="32"/>
      <c r="M105" s="32"/>
    </row>
    <row r="106" spans="1:13" ht="15" customHeight="1">
      <c r="A106" s="30"/>
      <c r="B106" s="33" t="str">
        <f>IF(A106="","",IFERROR(INDEX(품목마스터!$B$2:$B$300,MATCH(A106,품목마스터!$A$2:$A$300,0)),"※미등록"))</f>
        <v/>
      </c>
      <c r="C106" s="30"/>
      <c r="D106" s="33" t="str">
        <f>IF(C106="","",IFERROR(INDEX(협력사마스터!$B$2:$B$300,MATCH(C106,협력사마스터!$A$2:$A$300,0)),"※미등록"))</f>
        <v/>
      </c>
      <c r="E106" s="32"/>
      <c r="F106" s="33" t="str">
        <f>IF(E106="","",IFERROR(INDEX(담당자마스터!$B$2:$B$300,MATCH(E106,담당자마스터!$A$2:$A$300,0)),"※미등록"))</f>
        <v/>
      </c>
      <c r="G106" s="31"/>
      <c r="H106" s="32"/>
      <c r="I106" s="32"/>
      <c r="J106" s="32"/>
      <c r="K106" s="32"/>
      <c r="L106" s="32"/>
      <c r="M106" s="32"/>
    </row>
    <row r="107" spans="1:13" ht="15" customHeight="1">
      <c r="A107" s="30"/>
      <c r="B107" s="33" t="str">
        <f>IF(A107="","",IFERROR(INDEX(품목마스터!$B$2:$B$300,MATCH(A107,품목마스터!$A$2:$A$300,0)),"※미등록"))</f>
        <v/>
      </c>
      <c r="C107" s="30"/>
      <c r="D107" s="33" t="str">
        <f>IF(C107="","",IFERROR(INDEX(협력사마스터!$B$2:$B$300,MATCH(C107,협력사마스터!$A$2:$A$300,0)),"※미등록"))</f>
        <v/>
      </c>
      <c r="E107" s="32"/>
      <c r="F107" s="33" t="str">
        <f>IF(E107="","",IFERROR(INDEX(담당자마스터!$B$2:$B$300,MATCH(E107,담당자마스터!$A$2:$A$300,0)),"※미등록"))</f>
        <v/>
      </c>
      <c r="G107" s="31"/>
      <c r="H107" s="32"/>
      <c r="I107" s="32"/>
      <c r="J107" s="32"/>
      <c r="K107" s="32"/>
      <c r="L107" s="32"/>
      <c r="M107" s="32"/>
    </row>
    <row r="108" spans="1:13" ht="15" customHeight="1">
      <c r="A108" s="30"/>
      <c r="B108" s="33" t="str">
        <f>IF(A108="","",IFERROR(INDEX(품목마스터!$B$2:$B$300,MATCH(A108,품목마스터!$A$2:$A$300,0)),"※미등록"))</f>
        <v/>
      </c>
      <c r="C108" s="30"/>
      <c r="D108" s="33" t="str">
        <f>IF(C108="","",IFERROR(INDEX(협력사마스터!$B$2:$B$300,MATCH(C108,협력사마스터!$A$2:$A$300,0)),"※미등록"))</f>
        <v/>
      </c>
      <c r="E108" s="32"/>
      <c r="F108" s="33" t="str">
        <f>IF(E108="","",IFERROR(INDEX(담당자마스터!$B$2:$B$300,MATCH(E108,담당자마스터!$A$2:$A$300,0)),"※미등록"))</f>
        <v/>
      </c>
      <c r="G108" s="31"/>
      <c r="H108" s="32"/>
      <c r="I108" s="32"/>
      <c r="J108" s="32"/>
      <c r="K108" s="32"/>
      <c r="L108" s="32"/>
      <c r="M108" s="32"/>
    </row>
    <row r="109" spans="1:13" ht="15" customHeight="1">
      <c r="A109" s="30"/>
      <c r="B109" s="33" t="str">
        <f>IF(A109="","",IFERROR(INDEX(품목마스터!$B$2:$B$300,MATCH(A109,품목마스터!$A$2:$A$300,0)),"※미등록"))</f>
        <v/>
      </c>
      <c r="C109" s="30"/>
      <c r="D109" s="33" t="str">
        <f>IF(C109="","",IFERROR(INDEX(협력사마스터!$B$2:$B$300,MATCH(C109,협력사마스터!$A$2:$A$300,0)),"※미등록"))</f>
        <v/>
      </c>
      <c r="E109" s="32"/>
      <c r="F109" s="33" t="str">
        <f>IF(E109="","",IFERROR(INDEX(담당자마스터!$B$2:$B$300,MATCH(E109,담당자마스터!$A$2:$A$300,0)),"※미등록"))</f>
        <v/>
      </c>
      <c r="G109" s="31"/>
      <c r="H109" s="32"/>
      <c r="I109" s="32"/>
      <c r="J109" s="32"/>
      <c r="K109" s="32"/>
      <c r="L109" s="32"/>
      <c r="M109" s="32"/>
    </row>
    <row r="110" spans="1:13" ht="15" customHeight="1">
      <c r="A110" s="30"/>
      <c r="B110" s="33" t="str">
        <f>IF(A110="","",IFERROR(INDEX(품목마스터!$B$2:$B$300,MATCH(A110,품목마스터!$A$2:$A$300,0)),"※미등록"))</f>
        <v/>
      </c>
      <c r="C110" s="30"/>
      <c r="D110" s="33" t="str">
        <f>IF(C110="","",IFERROR(INDEX(협력사마스터!$B$2:$B$300,MATCH(C110,협력사마스터!$A$2:$A$300,0)),"※미등록"))</f>
        <v/>
      </c>
      <c r="E110" s="32"/>
      <c r="F110" s="33" t="str">
        <f>IF(E110="","",IFERROR(INDEX(담당자마스터!$B$2:$B$300,MATCH(E110,담당자마스터!$A$2:$A$300,0)),"※미등록"))</f>
        <v/>
      </c>
      <c r="G110" s="31"/>
      <c r="H110" s="32"/>
      <c r="I110" s="32"/>
      <c r="J110" s="32"/>
      <c r="K110" s="32"/>
      <c r="L110" s="32"/>
      <c r="M110" s="32"/>
    </row>
    <row r="111" spans="1:13" ht="15" customHeight="1">
      <c r="A111" s="30"/>
      <c r="B111" s="33" t="str">
        <f>IF(A111="","",IFERROR(INDEX(품목마스터!$B$2:$B$300,MATCH(A111,품목마스터!$A$2:$A$300,0)),"※미등록"))</f>
        <v/>
      </c>
      <c r="C111" s="30"/>
      <c r="D111" s="33" t="str">
        <f>IF(C111="","",IFERROR(INDEX(협력사마스터!$B$2:$B$300,MATCH(C111,협력사마스터!$A$2:$A$300,0)),"※미등록"))</f>
        <v/>
      </c>
      <c r="E111" s="32"/>
      <c r="F111" s="33" t="str">
        <f>IF(E111="","",IFERROR(INDEX(담당자마스터!$B$2:$B$300,MATCH(E111,담당자마스터!$A$2:$A$300,0)),"※미등록"))</f>
        <v/>
      </c>
      <c r="G111" s="31"/>
      <c r="H111" s="32"/>
      <c r="I111" s="32"/>
      <c r="J111" s="32"/>
      <c r="K111" s="32"/>
      <c r="L111" s="32"/>
      <c r="M111" s="32"/>
    </row>
    <row r="112" spans="1:13" ht="15" customHeight="1">
      <c r="A112" s="30"/>
      <c r="B112" s="33" t="str">
        <f>IF(A112="","",IFERROR(INDEX(품목마스터!$B$2:$B$300,MATCH(A112,품목마스터!$A$2:$A$300,0)),"※미등록"))</f>
        <v/>
      </c>
      <c r="C112" s="30"/>
      <c r="D112" s="33" t="str">
        <f>IF(C112="","",IFERROR(INDEX(협력사마스터!$B$2:$B$300,MATCH(C112,협력사마스터!$A$2:$A$300,0)),"※미등록"))</f>
        <v/>
      </c>
      <c r="E112" s="32"/>
      <c r="F112" s="33" t="str">
        <f>IF(E112="","",IFERROR(INDEX(담당자마스터!$B$2:$B$300,MATCH(E112,담당자마스터!$A$2:$A$300,0)),"※미등록"))</f>
        <v/>
      </c>
      <c r="G112" s="31"/>
      <c r="H112" s="32"/>
      <c r="I112" s="32"/>
      <c r="J112" s="32"/>
      <c r="K112" s="32"/>
      <c r="L112" s="32"/>
      <c r="M112" s="32"/>
    </row>
    <row r="113" spans="1:13" ht="15" customHeight="1">
      <c r="A113" s="30"/>
      <c r="B113" s="33" t="str">
        <f>IF(A113="","",IFERROR(INDEX(품목마스터!$B$2:$B$300,MATCH(A113,품목마스터!$A$2:$A$300,0)),"※미등록"))</f>
        <v/>
      </c>
      <c r="C113" s="30"/>
      <c r="D113" s="33" t="str">
        <f>IF(C113="","",IFERROR(INDEX(협력사마스터!$B$2:$B$300,MATCH(C113,협력사마스터!$A$2:$A$300,0)),"※미등록"))</f>
        <v/>
      </c>
      <c r="E113" s="32"/>
      <c r="F113" s="33" t="str">
        <f>IF(E113="","",IFERROR(INDEX(담당자마스터!$B$2:$B$300,MATCH(E113,담당자마스터!$A$2:$A$300,0)),"※미등록"))</f>
        <v/>
      </c>
      <c r="G113" s="31"/>
      <c r="H113" s="32"/>
      <c r="I113" s="32"/>
      <c r="J113" s="32"/>
      <c r="K113" s="32"/>
      <c r="L113" s="32"/>
      <c r="M113" s="32"/>
    </row>
    <row r="114" spans="1:13" ht="15" customHeight="1">
      <c r="A114" s="30"/>
      <c r="B114" s="33" t="str">
        <f>IF(A114="","",IFERROR(INDEX(품목마스터!$B$2:$B$300,MATCH(A114,품목마스터!$A$2:$A$300,0)),"※미등록"))</f>
        <v/>
      </c>
      <c r="C114" s="30"/>
      <c r="D114" s="33" t="str">
        <f>IF(C114="","",IFERROR(INDEX(협력사마스터!$B$2:$B$300,MATCH(C114,협력사마스터!$A$2:$A$300,0)),"※미등록"))</f>
        <v/>
      </c>
      <c r="E114" s="32"/>
      <c r="F114" s="33" t="str">
        <f>IF(E114="","",IFERROR(INDEX(담당자마스터!$B$2:$B$300,MATCH(E114,담당자마스터!$A$2:$A$300,0)),"※미등록"))</f>
        <v/>
      </c>
      <c r="G114" s="31"/>
      <c r="H114" s="32"/>
      <c r="I114" s="32"/>
      <c r="J114" s="32"/>
      <c r="K114" s="32"/>
      <c r="L114" s="32"/>
      <c r="M114" s="32"/>
    </row>
    <row r="115" spans="1:13" ht="15" customHeight="1">
      <c r="A115" s="30"/>
      <c r="B115" s="33" t="str">
        <f>IF(A115="","",IFERROR(INDEX(품목마스터!$B$2:$B$300,MATCH(A115,품목마스터!$A$2:$A$300,0)),"※미등록"))</f>
        <v/>
      </c>
      <c r="C115" s="30"/>
      <c r="D115" s="33" t="str">
        <f>IF(C115="","",IFERROR(INDEX(협력사마스터!$B$2:$B$300,MATCH(C115,협력사마스터!$A$2:$A$300,0)),"※미등록"))</f>
        <v/>
      </c>
      <c r="E115" s="32"/>
      <c r="F115" s="33" t="str">
        <f>IF(E115="","",IFERROR(INDEX(담당자마스터!$B$2:$B$300,MATCH(E115,담당자마스터!$A$2:$A$300,0)),"※미등록"))</f>
        <v/>
      </c>
      <c r="G115" s="31"/>
      <c r="H115" s="32"/>
      <c r="I115" s="32"/>
      <c r="J115" s="32"/>
      <c r="K115" s="32"/>
      <c r="L115" s="32"/>
      <c r="M115" s="32"/>
    </row>
    <row r="116" spans="1:13" ht="15" customHeight="1">
      <c r="A116" s="30"/>
      <c r="B116" s="33" t="str">
        <f>IF(A116="","",IFERROR(INDEX(품목마스터!$B$2:$B$300,MATCH(A116,품목마스터!$A$2:$A$300,0)),"※미등록"))</f>
        <v/>
      </c>
      <c r="C116" s="30"/>
      <c r="D116" s="33" t="str">
        <f>IF(C116="","",IFERROR(INDEX(협력사마스터!$B$2:$B$300,MATCH(C116,협력사마스터!$A$2:$A$300,0)),"※미등록"))</f>
        <v/>
      </c>
      <c r="E116" s="32"/>
      <c r="F116" s="33" t="str">
        <f>IF(E116="","",IFERROR(INDEX(담당자마스터!$B$2:$B$300,MATCH(E116,담당자마스터!$A$2:$A$300,0)),"※미등록"))</f>
        <v/>
      </c>
      <c r="G116" s="31"/>
      <c r="H116" s="32"/>
      <c r="I116" s="32"/>
      <c r="J116" s="32"/>
      <c r="K116" s="32"/>
      <c r="L116" s="32"/>
      <c r="M116" s="32"/>
    </row>
    <row r="117" spans="1:13" ht="15" customHeight="1">
      <c r="A117" s="30"/>
      <c r="B117" s="33" t="str">
        <f>IF(A117="","",IFERROR(INDEX(품목마스터!$B$2:$B$300,MATCH(A117,품목마스터!$A$2:$A$300,0)),"※미등록"))</f>
        <v/>
      </c>
      <c r="C117" s="30"/>
      <c r="D117" s="33" t="str">
        <f>IF(C117="","",IFERROR(INDEX(협력사마스터!$B$2:$B$300,MATCH(C117,협력사마스터!$A$2:$A$300,0)),"※미등록"))</f>
        <v/>
      </c>
      <c r="E117" s="32"/>
      <c r="F117" s="33" t="str">
        <f>IF(E117="","",IFERROR(INDEX(담당자마스터!$B$2:$B$300,MATCH(E117,담당자마스터!$A$2:$A$300,0)),"※미등록"))</f>
        <v/>
      </c>
      <c r="G117" s="31"/>
      <c r="H117" s="32"/>
      <c r="I117" s="32"/>
      <c r="J117" s="32"/>
      <c r="K117" s="32"/>
      <c r="L117" s="32"/>
      <c r="M117" s="32"/>
    </row>
    <row r="118" spans="1:13" ht="15" customHeight="1">
      <c r="A118" s="30"/>
      <c r="B118" s="33" t="str">
        <f>IF(A118="","",IFERROR(INDEX(품목마스터!$B$2:$B$300,MATCH(A118,품목마스터!$A$2:$A$300,0)),"※미등록"))</f>
        <v/>
      </c>
      <c r="C118" s="30"/>
      <c r="D118" s="33" t="str">
        <f>IF(C118="","",IFERROR(INDEX(협력사마스터!$B$2:$B$300,MATCH(C118,협력사마스터!$A$2:$A$300,0)),"※미등록"))</f>
        <v/>
      </c>
      <c r="E118" s="32"/>
      <c r="F118" s="33" t="str">
        <f>IF(E118="","",IFERROR(INDEX(담당자마스터!$B$2:$B$300,MATCH(E118,담당자마스터!$A$2:$A$300,0)),"※미등록"))</f>
        <v/>
      </c>
      <c r="G118" s="31"/>
      <c r="H118" s="32"/>
      <c r="I118" s="32"/>
      <c r="J118" s="32"/>
      <c r="K118" s="32"/>
      <c r="L118" s="32"/>
      <c r="M118" s="32"/>
    </row>
    <row r="119" spans="1:13" ht="15" customHeight="1">
      <c r="A119" s="30"/>
      <c r="B119" s="33" t="str">
        <f>IF(A119="","",IFERROR(INDEX(품목마스터!$B$2:$B$300,MATCH(A119,품목마스터!$A$2:$A$300,0)),"※미등록"))</f>
        <v/>
      </c>
      <c r="C119" s="30"/>
      <c r="D119" s="33" t="str">
        <f>IF(C119="","",IFERROR(INDEX(협력사마스터!$B$2:$B$300,MATCH(C119,협력사마스터!$A$2:$A$300,0)),"※미등록"))</f>
        <v/>
      </c>
      <c r="E119" s="32"/>
      <c r="F119" s="33" t="str">
        <f>IF(E119="","",IFERROR(INDEX(담당자마스터!$B$2:$B$300,MATCH(E119,담당자마스터!$A$2:$A$300,0)),"※미등록"))</f>
        <v/>
      </c>
      <c r="G119" s="31"/>
      <c r="H119" s="32"/>
      <c r="I119" s="32"/>
      <c r="J119" s="32"/>
      <c r="K119" s="32"/>
      <c r="L119" s="32"/>
      <c r="M119" s="32"/>
    </row>
    <row r="120" spans="1:13" ht="15" customHeight="1">
      <c r="A120" s="30"/>
      <c r="B120" s="33" t="str">
        <f>IF(A120="","",IFERROR(INDEX(품목마스터!$B$2:$B$300,MATCH(A120,품목마스터!$A$2:$A$300,0)),"※미등록"))</f>
        <v/>
      </c>
      <c r="C120" s="30"/>
      <c r="D120" s="33" t="str">
        <f>IF(C120="","",IFERROR(INDEX(협력사마스터!$B$2:$B$300,MATCH(C120,협력사마스터!$A$2:$A$300,0)),"※미등록"))</f>
        <v/>
      </c>
      <c r="E120" s="32"/>
      <c r="F120" s="33" t="str">
        <f>IF(E120="","",IFERROR(INDEX(담당자마스터!$B$2:$B$300,MATCH(E120,담당자마스터!$A$2:$A$300,0)),"※미등록"))</f>
        <v/>
      </c>
      <c r="G120" s="31"/>
      <c r="H120" s="32"/>
      <c r="I120" s="32"/>
      <c r="J120" s="32"/>
      <c r="K120" s="32"/>
      <c r="L120" s="32"/>
      <c r="M120" s="32"/>
    </row>
    <row r="121" spans="1:13" ht="15" customHeight="1">
      <c r="A121" s="30"/>
      <c r="B121" s="33" t="str">
        <f>IF(A121="","",IFERROR(INDEX(품목마스터!$B$2:$B$300,MATCH(A121,품목마스터!$A$2:$A$300,0)),"※미등록"))</f>
        <v/>
      </c>
      <c r="C121" s="30"/>
      <c r="D121" s="33" t="str">
        <f>IF(C121="","",IFERROR(INDEX(협력사마스터!$B$2:$B$300,MATCH(C121,협력사마스터!$A$2:$A$300,0)),"※미등록"))</f>
        <v/>
      </c>
      <c r="E121" s="32"/>
      <c r="F121" s="33" t="str">
        <f>IF(E121="","",IFERROR(INDEX(담당자마스터!$B$2:$B$300,MATCH(E121,담당자마스터!$A$2:$A$300,0)),"※미등록"))</f>
        <v/>
      </c>
      <c r="G121" s="31"/>
      <c r="H121" s="32"/>
      <c r="I121" s="32"/>
      <c r="J121" s="32"/>
      <c r="K121" s="32"/>
      <c r="L121" s="32"/>
      <c r="M121" s="32"/>
    </row>
    <row r="122" spans="1:13" ht="15" customHeight="1">
      <c r="A122" s="30"/>
      <c r="B122" s="33" t="str">
        <f>IF(A122="","",IFERROR(INDEX(품목마스터!$B$2:$B$300,MATCH(A122,품목마스터!$A$2:$A$300,0)),"※미등록"))</f>
        <v/>
      </c>
      <c r="C122" s="30"/>
      <c r="D122" s="33" t="str">
        <f>IF(C122="","",IFERROR(INDEX(협력사마스터!$B$2:$B$300,MATCH(C122,협력사마스터!$A$2:$A$300,0)),"※미등록"))</f>
        <v/>
      </c>
      <c r="E122" s="32"/>
      <c r="F122" s="33" t="str">
        <f>IF(E122="","",IFERROR(INDEX(담당자마스터!$B$2:$B$300,MATCH(E122,담당자마스터!$A$2:$A$300,0)),"※미등록"))</f>
        <v/>
      </c>
      <c r="G122" s="31"/>
      <c r="H122" s="32"/>
      <c r="I122" s="32"/>
      <c r="J122" s="32"/>
      <c r="K122" s="32"/>
      <c r="L122" s="32"/>
      <c r="M122" s="32"/>
    </row>
    <row r="123" spans="1:13" ht="15" customHeight="1">
      <c r="A123" s="30"/>
      <c r="B123" s="33" t="str">
        <f>IF(A123="","",IFERROR(INDEX(품목마스터!$B$2:$B$300,MATCH(A123,품목마스터!$A$2:$A$300,0)),"※미등록"))</f>
        <v/>
      </c>
      <c r="C123" s="30"/>
      <c r="D123" s="33" t="str">
        <f>IF(C123="","",IFERROR(INDEX(협력사마스터!$B$2:$B$300,MATCH(C123,협력사마스터!$A$2:$A$300,0)),"※미등록"))</f>
        <v/>
      </c>
      <c r="E123" s="32"/>
      <c r="F123" s="33" t="str">
        <f>IF(E123="","",IFERROR(INDEX(담당자마스터!$B$2:$B$300,MATCH(E123,담당자마스터!$A$2:$A$300,0)),"※미등록"))</f>
        <v/>
      </c>
      <c r="G123" s="31"/>
      <c r="H123" s="32"/>
      <c r="I123" s="32"/>
      <c r="J123" s="32"/>
      <c r="K123" s="32"/>
      <c r="L123" s="32"/>
      <c r="M123" s="32"/>
    </row>
    <row r="124" spans="1:13" ht="15" customHeight="1">
      <c r="A124" s="30"/>
      <c r="B124" s="33" t="str">
        <f>IF(A124="","",IFERROR(INDEX(품목마스터!$B$2:$B$300,MATCH(A124,품목마스터!$A$2:$A$300,0)),"※미등록"))</f>
        <v/>
      </c>
      <c r="C124" s="30"/>
      <c r="D124" s="33" t="str">
        <f>IF(C124="","",IFERROR(INDEX(협력사마스터!$B$2:$B$300,MATCH(C124,협력사마스터!$A$2:$A$300,0)),"※미등록"))</f>
        <v/>
      </c>
      <c r="E124" s="32"/>
      <c r="F124" s="33" t="str">
        <f>IF(E124="","",IFERROR(INDEX(담당자마스터!$B$2:$B$300,MATCH(E124,담당자마스터!$A$2:$A$300,0)),"※미등록"))</f>
        <v/>
      </c>
      <c r="G124" s="31"/>
      <c r="H124" s="32"/>
      <c r="I124" s="32"/>
      <c r="J124" s="32"/>
      <c r="K124" s="32"/>
      <c r="L124" s="32"/>
      <c r="M124" s="32"/>
    </row>
    <row r="125" spans="1:13" ht="15" customHeight="1">
      <c r="A125" s="30"/>
      <c r="B125" s="33" t="str">
        <f>IF(A125="","",IFERROR(INDEX(품목마스터!$B$2:$B$300,MATCH(A125,품목마스터!$A$2:$A$300,0)),"※미등록"))</f>
        <v/>
      </c>
      <c r="C125" s="30"/>
      <c r="D125" s="33" t="str">
        <f>IF(C125="","",IFERROR(INDEX(협력사마스터!$B$2:$B$300,MATCH(C125,협력사마스터!$A$2:$A$300,0)),"※미등록"))</f>
        <v/>
      </c>
      <c r="E125" s="32"/>
      <c r="F125" s="33" t="str">
        <f>IF(E125="","",IFERROR(INDEX(담당자마스터!$B$2:$B$300,MATCH(E125,담당자마스터!$A$2:$A$300,0)),"※미등록"))</f>
        <v/>
      </c>
      <c r="G125" s="31"/>
      <c r="H125" s="32"/>
      <c r="I125" s="32"/>
      <c r="J125" s="32"/>
      <c r="K125" s="32"/>
      <c r="L125" s="32"/>
      <c r="M125" s="32"/>
    </row>
    <row r="126" spans="1:13" ht="15" customHeight="1">
      <c r="A126" s="30"/>
      <c r="B126" s="33" t="str">
        <f>IF(A126="","",IFERROR(INDEX(품목마스터!$B$2:$B$300,MATCH(A126,품목마스터!$A$2:$A$300,0)),"※미등록"))</f>
        <v/>
      </c>
      <c r="C126" s="30"/>
      <c r="D126" s="33" t="str">
        <f>IF(C126="","",IFERROR(INDEX(협력사마스터!$B$2:$B$300,MATCH(C126,협력사마스터!$A$2:$A$300,0)),"※미등록"))</f>
        <v/>
      </c>
      <c r="E126" s="32"/>
      <c r="F126" s="33" t="str">
        <f>IF(E126="","",IFERROR(INDEX(담당자마스터!$B$2:$B$300,MATCH(E126,담당자마스터!$A$2:$A$300,0)),"※미등록"))</f>
        <v/>
      </c>
      <c r="G126" s="31"/>
      <c r="H126" s="32"/>
      <c r="I126" s="32"/>
      <c r="J126" s="32"/>
      <c r="K126" s="32"/>
      <c r="L126" s="32"/>
      <c r="M126" s="32"/>
    </row>
    <row r="127" spans="1:13" ht="15" customHeight="1">
      <c r="A127" s="30"/>
      <c r="B127" s="33" t="str">
        <f>IF(A127="","",IFERROR(INDEX(품목마스터!$B$2:$B$300,MATCH(A127,품목마스터!$A$2:$A$300,0)),"※미등록"))</f>
        <v/>
      </c>
      <c r="C127" s="30"/>
      <c r="D127" s="33" t="str">
        <f>IF(C127="","",IFERROR(INDEX(협력사마스터!$B$2:$B$300,MATCH(C127,협력사마스터!$A$2:$A$300,0)),"※미등록"))</f>
        <v/>
      </c>
      <c r="E127" s="32"/>
      <c r="F127" s="33" t="str">
        <f>IF(E127="","",IFERROR(INDEX(담당자마스터!$B$2:$B$300,MATCH(E127,담당자마스터!$A$2:$A$300,0)),"※미등록"))</f>
        <v/>
      </c>
      <c r="G127" s="31"/>
      <c r="H127" s="32"/>
      <c r="I127" s="32"/>
      <c r="J127" s="32"/>
      <c r="K127" s="32"/>
      <c r="L127" s="32"/>
      <c r="M127" s="32"/>
    </row>
    <row r="128" spans="1:13" ht="15" customHeight="1">
      <c r="A128" s="30"/>
      <c r="B128" s="33" t="str">
        <f>IF(A128="","",IFERROR(INDEX(품목마스터!$B$2:$B$300,MATCH(A128,품목마스터!$A$2:$A$300,0)),"※미등록"))</f>
        <v/>
      </c>
      <c r="C128" s="30"/>
      <c r="D128" s="33" t="str">
        <f>IF(C128="","",IFERROR(INDEX(협력사마스터!$B$2:$B$300,MATCH(C128,협력사마스터!$A$2:$A$300,0)),"※미등록"))</f>
        <v/>
      </c>
      <c r="E128" s="32"/>
      <c r="F128" s="33" t="str">
        <f>IF(E128="","",IFERROR(INDEX(담당자마스터!$B$2:$B$300,MATCH(E128,담당자마스터!$A$2:$A$300,0)),"※미등록"))</f>
        <v/>
      </c>
      <c r="G128" s="31"/>
      <c r="H128" s="32"/>
      <c r="I128" s="32"/>
      <c r="J128" s="32"/>
      <c r="K128" s="32"/>
      <c r="L128" s="32"/>
      <c r="M128" s="32"/>
    </row>
    <row r="129" spans="1:13" ht="15" customHeight="1">
      <c r="A129" s="30"/>
      <c r="B129" s="33" t="str">
        <f>IF(A129="","",IFERROR(INDEX(품목마스터!$B$2:$B$300,MATCH(A129,품목마스터!$A$2:$A$300,0)),"※미등록"))</f>
        <v/>
      </c>
      <c r="C129" s="30"/>
      <c r="D129" s="33" t="str">
        <f>IF(C129="","",IFERROR(INDEX(협력사마스터!$B$2:$B$300,MATCH(C129,협력사마스터!$A$2:$A$300,0)),"※미등록"))</f>
        <v/>
      </c>
      <c r="E129" s="32"/>
      <c r="F129" s="33" t="str">
        <f>IF(E129="","",IFERROR(INDEX(담당자마스터!$B$2:$B$300,MATCH(E129,담당자마스터!$A$2:$A$300,0)),"※미등록"))</f>
        <v/>
      </c>
      <c r="G129" s="31"/>
      <c r="H129" s="32"/>
      <c r="I129" s="32"/>
      <c r="J129" s="32"/>
      <c r="K129" s="32"/>
      <c r="L129" s="32"/>
      <c r="M129" s="32"/>
    </row>
    <row r="130" spans="1:13" ht="15" customHeight="1">
      <c r="A130" s="30"/>
      <c r="B130" s="33" t="str">
        <f>IF(A130="","",IFERROR(INDEX(품목마스터!$B$2:$B$300,MATCH(A130,품목마스터!$A$2:$A$300,0)),"※미등록"))</f>
        <v/>
      </c>
      <c r="C130" s="30"/>
      <c r="D130" s="33" t="str">
        <f>IF(C130="","",IFERROR(INDEX(협력사마스터!$B$2:$B$300,MATCH(C130,협력사마스터!$A$2:$A$300,0)),"※미등록"))</f>
        <v/>
      </c>
      <c r="E130" s="32"/>
      <c r="F130" s="33" t="str">
        <f>IF(E130="","",IFERROR(INDEX(담당자마스터!$B$2:$B$300,MATCH(E130,담당자마스터!$A$2:$A$300,0)),"※미등록"))</f>
        <v/>
      </c>
      <c r="G130" s="31"/>
      <c r="H130" s="32"/>
      <c r="I130" s="32"/>
      <c r="J130" s="32"/>
      <c r="K130" s="32"/>
      <c r="L130" s="32"/>
      <c r="M130" s="32"/>
    </row>
    <row r="131" spans="1:13" ht="15" customHeight="1">
      <c r="A131" s="30"/>
      <c r="B131" s="33" t="str">
        <f>IF(A131="","",IFERROR(INDEX(품목마스터!$B$2:$B$300,MATCH(A131,품목마스터!$A$2:$A$300,0)),"※미등록"))</f>
        <v/>
      </c>
      <c r="C131" s="30"/>
      <c r="D131" s="33" t="str">
        <f>IF(C131="","",IFERROR(INDEX(협력사마스터!$B$2:$B$300,MATCH(C131,협력사마스터!$A$2:$A$300,0)),"※미등록"))</f>
        <v/>
      </c>
      <c r="E131" s="32"/>
      <c r="F131" s="33" t="str">
        <f>IF(E131="","",IFERROR(INDEX(담당자마스터!$B$2:$B$300,MATCH(E131,담당자마스터!$A$2:$A$300,0)),"※미등록"))</f>
        <v/>
      </c>
      <c r="G131" s="31"/>
      <c r="H131" s="32"/>
      <c r="I131" s="32"/>
      <c r="J131" s="32"/>
      <c r="K131" s="32"/>
      <c r="L131" s="32"/>
      <c r="M131" s="32"/>
    </row>
    <row r="132" spans="1:13" ht="15" customHeight="1">
      <c r="A132" s="30"/>
      <c r="B132" s="33" t="str">
        <f>IF(A132="","",IFERROR(INDEX(품목마스터!$B$2:$B$300,MATCH(A132,품목마스터!$A$2:$A$300,0)),"※미등록"))</f>
        <v/>
      </c>
      <c r="C132" s="30"/>
      <c r="D132" s="33" t="str">
        <f>IF(C132="","",IFERROR(INDEX(협력사마스터!$B$2:$B$300,MATCH(C132,협력사마스터!$A$2:$A$300,0)),"※미등록"))</f>
        <v/>
      </c>
      <c r="E132" s="32"/>
      <c r="F132" s="33" t="str">
        <f>IF(E132="","",IFERROR(INDEX(담당자마스터!$B$2:$B$300,MATCH(E132,담당자마스터!$A$2:$A$300,0)),"※미등록"))</f>
        <v/>
      </c>
      <c r="G132" s="31"/>
      <c r="H132" s="32"/>
      <c r="I132" s="32"/>
      <c r="J132" s="32"/>
      <c r="K132" s="32"/>
      <c r="L132" s="32"/>
      <c r="M132" s="32"/>
    </row>
    <row r="133" spans="1:13" ht="15" customHeight="1">
      <c r="A133" s="30"/>
      <c r="B133" s="33" t="str">
        <f>IF(A133="","",IFERROR(INDEX(품목마스터!$B$2:$B$300,MATCH(A133,품목마스터!$A$2:$A$300,0)),"※미등록"))</f>
        <v/>
      </c>
      <c r="C133" s="30"/>
      <c r="D133" s="33" t="str">
        <f>IF(C133="","",IFERROR(INDEX(협력사마스터!$B$2:$B$300,MATCH(C133,협력사마스터!$A$2:$A$300,0)),"※미등록"))</f>
        <v/>
      </c>
      <c r="E133" s="32"/>
      <c r="F133" s="33" t="str">
        <f>IF(E133="","",IFERROR(INDEX(담당자마스터!$B$2:$B$300,MATCH(E133,담당자마스터!$A$2:$A$300,0)),"※미등록"))</f>
        <v/>
      </c>
      <c r="G133" s="31"/>
      <c r="H133" s="32"/>
      <c r="I133" s="32"/>
      <c r="J133" s="32"/>
      <c r="K133" s="32"/>
      <c r="L133" s="32"/>
      <c r="M133" s="32"/>
    </row>
    <row r="134" spans="1:13" ht="15" customHeight="1">
      <c r="A134" s="30"/>
      <c r="B134" s="33" t="str">
        <f>IF(A134="","",IFERROR(INDEX(품목마스터!$B$2:$B$300,MATCH(A134,품목마스터!$A$2:$A$300,0)),"※미등록"))</f>
        <v/>
      </c>
      <c r="C134" s="30"/>
      <c r="D134" s="33" t="str">
        <f>IF(C134="","",IFERROR(INDEX(협력사마스터!$B$2:$B$300,MATCH(C134,협력사마스터!$A$2:$A$300,0)),"※미등록"))</f>
        <v/>
      </c>
      <c r="E134" s="32"/>
      <c r="F134" s="33" t="str">
        <f>IF(E134="","",IFERROR(INDEX(담당자마스터!$B$2:$B$300,MATCH(E134,담당자마스터!$A$2:$A$300,0)),"※미등록"))</f>
        <v/>
      </c>
      <c r="G134" s="31"/>
      <c r="H134" s="32"/>
      <c r="I134" s="32"/>
      <c r="J134" s="32"/>
      <c r="K134" s="32"/>
      <c r="L134" s="32"/>
      <c r="M134" s="32"/>
    </row>
    <row r="135" spans="1:13" ht="15" customHeight="1">
      <c r="A135" s="30"/>
      <c r="B135" s="33" t="str">
        <f>IF(A135="","",IFERROR(INDEX(품목마스터!$B$2:$B$300,MATCH(A135,품목마스터!$A$2:$A$300,0)),"※미등록"))</f>
        <v/>
      </c>
      <c r="C135" s="30"/>
      <c r="D135" s="33" t="str">
        <f>IF(C135="","",IFERROR(INDEX(협력사마스터!$B$2:$B$300,MATCH(C135,협력사마스터!$A$2:$A$300,0)),"※미등록"))</f>
        <v/>
      </c>
      <c r="E135" s="32"/>
      <c r="F135" s="33" t="str">
        <f>IF(E135="","",IFERROR(INDEX(담당자마스터!$B$2:$B$300,MATCH(E135,담당자마스터!$A$2:$A$300,0)),"※미등록"))</f>
        <v/>
      </c>
      <c r="G135" s="31"/>
      <c r="H135" s="32"/>
      <c r="I135" s="32"/>
      <c r="J135" s="32"/>
      <c r="K135" s="32"/>
      <c r="L135" s="32"/>
      <c r="M135" s="32"/>
    </row>
    <row r="136" spans="1:13" ht="15" customHeight="1">
      <c r="A136" s="30"/>
      <c r="B136" s="33" t="str">
        <f>IF(A136="","",IFERROR(INDEX(품목마스터!$B$2:$B$300,MATCH(A136,품목마스터!$A$2:$A$300,0)),"※미등록"))</f>
        <v/>
      </c>
      <c r="C136" s="30"/>
      <c r="D136" s="33" t="str">
        <f>IF(C136="","",IFERROR(INDEX(협력사마스터!$B$2:$B$300,MATCH(C136,협력사마스터!$A$2:$A$300,0)),"※미등록"))</f>
        <v/>
      </c>
      <c r="E136" s="32"/>
      <c r="F136" s="33" t="str">
        <f>IF(E136="","",IFERROR(INDEX(담당자마스터!$B$2:$B$300,MATCH(E136,담당자마스터!$A$2:$A$300,0)),"※미등록"))</f>
        <v/>
      </c>
      <c r="G136" s="31"/>
      <c r="H136" s="32"/>
      <c r="I136" s="32"/>
      <c r="J136" s="32"/>
      <c r="K136" s="32"/>
      <c r="L136" s="32"/>
      <c r="M136" s="32"/>
    </row>
    <row r="137" spans="1:13" ht="15" customHeight="1">
      <c r="A137" s="30"/>
      <c r="B137" s="33" t="str">
        <f>IF(A137="","",IFERROR(INDEX(품목마스터!$B$2:$B$300,MATCH(A137,품목마스터!$A$2:$A$300,0)),"※미등록"))</f>
        <v/>
      </c>
      <c r="C137" s="30"/>
      <c r="D137" s="33" t="str">
        <f>IF(C137="","",IFERROR(INDEX(협력사마스터!$B$2:$B$300,MATCH(C137,협력사마스터!$A$2:$A$300,0)),"※미등록"))</f>
        <v/>
      </c>
      <c r="E137" s="32"/>
      <c r="F137" s="33" t="str">
        <f>IF(E137="","",IFERROR(INDEX(담당자마스터!$B$2:$B$300,MATCH(E137,담당자마스터!$A$2:$A$300,0)),"※미등록"))</f>
        <v/>
      </c>
      <c r="G137" s="31"/>
      <c r="H137" s="32"/>
      <c r="I137" s="32"/>
      <c r="J137" s="32"/>
      <c r="K137" s="32"/>
      <c r="L137" s="32"/>
      <c r="M137" s="32"/>
    </row>
    <row r="138" spans="1:13" ht="15" customHeight="1">
      <c r="A138" s="30"/>
      <c r="B138" s="33" t="str">
        <f>IF(A138="","",IFERROR(INDEX(품목마스터!$B$2:$B$300,MATCH(A138,품목마스터!$A$2:$A$300,0)),"※미등록"))</f>
        <v/>
      </c>
      <c r="C138" s="30"/>
      <c r="D138" s="33" t="str">
        <f>IF(C138="","",IFERROR(INDEX(협력사마스터!$B$2:$B$300,MATCH(C138,협력사마스터!$A$2:$A$300,0)),"※미등록"))</f>
        <v/>
      </c>
      <c r="E138" s="32"/>
      <c r="F138" s="33" t="str">
        <f>IF(E138="","",IFERROR(INDEX(담당자마스터!$B$2:$B$300,MATCH(E138,담당자마스터!$A$2:$A$300,0)),"※미등록"))</f>
        <v/>
      </c>
      <c r="G138" s="31"/>
      <c r="H138" s="32"/>
      <c r="I138" s="32"/>
      <c r="J138" s="32"/>
      <c r="K138" s="32"/>
      <c r="L138" s="32"/>
      <c r="M138" s="32"/>
    </row>
    <row r="139" spans="1:13" ht="15" customHeight="1">
      <c r="A139" s="30"/>
      <c r="B139" s="33" t="str">
        <f>IF(A139="","",IFERROR(INDEX(품목마스터!$B$2:$B$300,MATCH(A139,품목마스터!$A$2:$A$300,0)),"※미등록"))</f>
        <v/>
      </c>
      <c r="C139" s="30"/>
      <c r="D139" s="33" t="str">
        <f>IF(C139="","",IFERROR(INDEX(협력사마스터!$B$2:$B$300,MATCH(C139,협력사마스터!$A$2:$A$300,0)),"※미등록"))</f>
        <v/>
      </c>
      <c r="E139" s="32"/>
      <c r="F139" s="33" t="str">
        <f>IF(E139="","",IFERROR(INDEX(담당자마스터!$B$2:$B$300,MATCH(E139,담당자마스터!$A$2:$A$300,0)),"※미등록"))</f>
        <v/>
      </c>
      <c r="G139" s="31"/>
      <c r="H139" s="32"/>
      <c r="I139" s="32"/>
      <c r="J139" s="32"/>
      <c r="K139" s="32"/>
      <c r="L139" s="32"/>
      <c r="M139" s="32"/>
    </row>
    <row r="140" spans="1:13" ht="15" customHeight="1">
      <c r="A140" s="30"/>
      <c r="B140" s="33" t="str">
        <f>IF(A140="","",IFERROR(INDEX(품목마스터!$B$2:$B$300,MATCH(A140,품목마스터!$A$2:$A$300,0)),"※미등록"))</f>
        <v/>
      </c>
      <c r="C140" s="30"/>
      <c r="D140" s="33" t="str">
        <f>IF(C140="","",IFERROR(INDEX(협력사마스터!$B$2:$B$300,MATCH(C140,협력사마스터!$A$2:$A$300,0)),"※미등록"))</f>
        <v/>
      </c>
      <c r="E140" s="32"/>
      <c r="F140" s="33" t="str">
        <f>IF(E140="","",IFERROR(INDEX(담당자마스터!$B$2:$B$300,MATCH(E140,담당자마스터!$A$2:$A$300,0)),"※미등록"))</f>
        <v/>
      </c>
      <c r="G140" s="31"/>
      <c r="H140" s="32"/>
      <c r="I140" s="32"/>
      <c r="J140" s="32"/>
      <c r="K140" s="32"/>
      <c r="L140" s="32"/>
      <c r="M140" s="32"/>
    </row>
    <row r="141" spans="1:13" ht="15" customHeight="1">
      <c r="A141" s="30"/>
      <c r="B141" s="33" t="str">
        <f>IF(A141="","",IFERROR(INDEX(품목마스터!$B$2:$B$300,MATCH(A141,품목마스터!$A$2:$A$300,0)),"※미등록"))</f>
        <v/>
      </c>
      <c r="C141" s="30"/>
      <c r="D141" s="33" t="str">
        <f>IF(C141="","",IFERROR(INDEX(협력사마스터!$B$2:$B$300,MATCH(C141,협력사마스터!$A$2:$A$300,0)),"※미등록"))</f>
        <v/>
      </c>
      <c r="E141" s="32"/>
      <c r="F141" s="33" t="str">
        <f>IF(E141="","",IFERROR(INDEX(담당자마스터!$B$2:$B$300,MATCH(E141,담당자마스터!$A$2:$A$300,0)),"※미등록"))</f>
        <v/>
      </c>
      <c r="G141" s="31"/>
      <c r="H141" s="32"/>
      <c r="I141" s="32"/>
      <c r="J141" s="32"/>
      <c r="K141" s="32"/>
      <c r="L141" s="32"/>
      <c r="M141" s="32"/>
    </row>
    <row r="142" spans="1:13" ht="15" customHeight="1">
      <c r="A142" s="30"/>
      <c r="B142" s="33" t="str">
        <f>IF(A142="","",IFERROR(INDEX(품목마스터!$B$2:$B$300,MATCH(A142,품목마스터!$A$2:$A$300,0)),"※미등록"))</f>
        <v/>
      </c>
      <c r="C142" s="30"/>
      <c r="D142" s="33" t="str">
        <f>IF(C142="","",IFERROR(INDEX(협력사마스터!$B$2:$B$300,MATCH(C142,협력사마스터!$A$2:$A$300,0)),"※미등록"))</f>
        <v/>
      </c>
      <c r="E142" s="32"/>
      <c r="F142" s="33" t="str">
        <f>IF(E142="","",IFERROR(INDEX(담당자마스터!$B$2:$B$300,MATCH(E142,담당자마스터!$A$2:$A$300,0)),"※미등록"))</f>
        <v/>
      </c>
      <c r="G142" s="31"/>
      <c r="H142" s="32"/>
      <c r="I142" s="32"/>
      <c r="J142" s="32"/>
      <c r="K142" s="32"/>
      <c r="L142" s="32"/>
      <c r="M142" s="32"/>
    </row>
    <row r="143" spans="1:13" ht="15" customHeight="1">
      <c r="A143" s="30"/>
      <c r="B143" s="33" t="str">
        <f>IF(A143="","",IFERROR(INDEX(품목마스터!$B$2:$B$300,MATCH(A143,품목마스터!$A$2:$A$300,0)),"※미등록"))</f>
        <v/>
      </c>
      <c r="C143" s="30"/>
      <c r="D143" s="33" t="str">
        <f>IF(C143="","",IFERROR(INDEX(협력사마스터!$B$2:$B$300,MATCH(C143,협력사마스터!$A$2:$A$300,0)),"※미등록"))</f>
        <v/>
      </c>
      <c r="E143" s="32"/>
      <c r="F143" s="33" t="str">
        <f>IF(E143="","",IFERROR(INDEX(담당자마스터!$B$2:$B$300,MATCH(E143,담당자마스터!$A$2:$A$300,0)),"※미등록"))</f>
        <v/>
      </c>
      <c r="G143" s="31"/>
      <c r="H143" s="32"/>
      <c r="I143" s="32"/>
      <c r="J143" s="32"/>
      <c r="K143" s="32"/>
      <c r="L143" s="32"/>
      <c r="M143" s="32"/>
    </row>
    <row r="144" spans="1:13" ht="15" customHeight="1">
      <c r="A144" s="30"/>
      <c r="B144" s="33" t="str">
        <f>IF(A144="","",IFERROR(INDEX(품목마스터!$B$2:$B$300,MATCH(A144,품목마스터!$A$2:$A$300,0)),"※미등록"))</f>
        <v/>
      </c>
      <c r="C144" s="30"/>
      <c r="D144" s="33" t="str">
        <f>IF(C144="","",IFERROR(INDEX(협력사마스터!$B$2:$B$300,MATCH(C144,협력사마스터!$A$2:$A$300,0)),"※미등록"))</f>
        <v/>
      </c>
      <c r="E144" s="32"/>
      <c r="F144" s="33" t="str">
        <f>IF(E144="","",IFERROR(INDEX(담당자마스터!$B$2:$B$300,MATCH(E144,담당자마스터!$A$2:$A$300,0)),"※미등록"))</f>
        <v/>
      </c>
      <c r="G144" s="31"/>
      <c r="H144" s="32"/>
      <c r="I144" s="32"/>
      <c r="J144" s="32"/>
      <c r="K144" s="32"/>
      <c r="L144" s="32"/>
      <c r="M144" s="32"/>
    </row>
    <row r="145" spans="1:13" ht="15" customHeight="1">
      <c r="A145" s="30"/>
      <c r="B145" s="33" t="str">
        <f>IF(A145="","",IFERROR(INDEX(품목마스터!$B$2:$B$300,MATCH(A145,품목마스터!$A$2:$A$300,0)),"※미등록"))</f>
        <v/>
      </c>
      <c r="C145" s="30"/>
      <c r="D145" s="33" t="str">
        <f>IF(C145="","",IFERROR(INDEX(협력사마스터!$B$2:$B$300,MATCH(C145,협력사마스터!$A$2:$A$300,0)),"※미등록"))</f>
        <v/>
      </c>
      <c r="E145" s="32"/>
      <c r="F145" s="33" t="str">
        <f>IF(E145="","",IFERROR(INDEX(담당자마스터!$B$2:$B$300,MATCH(E145,담당자마스터!$A$2:$A$300,0)),"※미등록"))</f>
        <v/>
      </c>
      <c r="G145" s="31"/>
      <c r="H145" s="32"/>
      <c r="I145" s="32"/>
      <c r="J145" s="32"/>
      <c r="K145" s="32"/>
      <c r="L145" s="32"/>
      <c r="M145" s="32"/>
    </row>
    <row r="146" spans="1:13" ht="15" customHeight="1">
      <c r="A146" s="30"/>
      <c r="B146" s="33" t="str">
        <f>IF(A146="","",IFERROR(INDEX(품목마스터!$B$2:$B$300,MATCH(A146,품목마스터!$A$2:$A$300,0)),"※미등록"))</f>
        <v/>
      </c>
      <c r="C146" s="30"/>
      <c r="D146" s="33" t="str">
        <f>IF(C146="","",IFERROR(INDEX(협력사마스터!$B$2:$B$300,MATCH(C146,협력사마스터!$A$2:$A$300,0)),"※미등록"))</f>
        <v/>
      </c>
      <c r="E146" s="32"/>
      <c r="F146" s="33" t="str">
        <f>IF(E146="","",IFERROR(INDEX(담당자마스터!$B$2:$B$300,MATCH(E146,담당자마스터!$A$2:$A$300,0)),"※미등록"))</f>
        <v/>
      </c>
      <c r="G146" s="31"/>
      <c r="H146" s="32"/>
      <c r="I146" s="32"/>
      <c r="J146" s="32"/>
      <c r="K146" s="32"/>
      <c r="L146" s="32"/>
      <c r="M146" s="32"/>
    </row>
    <row r="147" spans="1:13" ht="15" customHeight="1">
      <c r="A147" s="30"/>
      <c r="B147" s="33" t="str">
        <f>IF(A147="","",IFERROR(INDEX(품목마스터!$B$2:$B$300,MATCH(A147,품목마스터!$A$2:$A$300,0)),"※미등록"))</f>
        <v/>
      </c>
      <c r="C147" s="30"/>
      <c r="D147" s="33" t="str">
        <f>IF(C147="","",IFERROR(INDEX(협력사마스터!$B$2:$B$300,MATCH(C147,협력사마스터!$A$2:$A$300,0)),"※미등록"))</f>
        <v/>
      </c>
      <c r="E147" s="32"/>
      <c r="F147" s="33" t="str">
        <f>IF(E147="","",IFERROR(INDEX(담당자마스터!$B$2:$B$300,MATCH(E147,담당자마스터!$A$2:$A$300,0)),"※미등록"))</f>
        <v/>
      </c>
      <c r="G147" s="31"/>
      <c r="H147" s="32"/>
      <c r="I147" s="32"/>
      <c r="J147" s="32"/>
      <c r="K147" s="32"/>
      <c r="L147" s="32"/>
      <c r="M147" s="32"/>
    </row>
    <row r="148" spans="1:13" ht="15" customHeight="1">
      <c r="A148" s="30"/>
      <c r="B148" s="33" t="str">
        <f>IF(A148="","",IFERROR(INDEX(품목마스터!$B$2:$B$300,MATCH(A148,품목마스터!$A$2:$A$300,0)),"※미등록"))</f>
        <v/>
      </c>
      <c r="C148" s="30"/>
      <c r="D148" s="33" t="str">
        <f>IF(C148="","",IFERROR(INDEX(협력사마스터!$B$2:$B$300,MATCH(C148,협력사마스터!$A$2:$A$300,0)),"※미등록"))</f>
        <v/>
      </c>
      <c r="E148" s="32"/>
      <c r="F148" s="33" t="str">
        <f>IF(E148="","",IFERROR(INDEX(담당자마스터!$B$2:$B$300,MATCH(E148,담당자마스터!$A$2:$A$300,0)),"※미등록"))</f>
        <v/>
      </c>
      <c r="G148" s="31"/>
      <c r="H148" s="32"/>
      <c r="I148" s="32"/>
      <c r="J148" s="32"/>
      <c r="K148" s="32"/>
      <c r="L148" s="32"/>
      <c r="M148" s="32"/>
    </row>
    <row r="149" spans="1:13" ht="15" customHeight="1">
      <c r="A149" s="30"/>
      <c r="B149" s="33" t="str">
        <f>IF(A149="","",IFERROR(INDEX(품목마스터!$B$2:$B$300,MATCH(A149,품목마스터!$A$2:$A$300,0)),"※미등록"))</f>
        <v/>
      </c>
      <c r="C149" s="30"/>
      <c r="D149" s="33" t="str">
        <f>IF(C149="","",IFERROR(INDEX(협력사마스터!$B$2:$B$300,MATCH(C149,협력사마스터!$A$2:$A$300,0)),"※미등록"))</f>
        <v/>
      </c>
      <c r="E149" s="32"/>
      <c r="F149" s="33" t="str">
        <f>IF(E149="","",IFERROR(INDEX(담당자마스터!$B$2:$B$300,MATCH(E149,담당자마스터!$A$2:$A$300,0)),"※미등록"))</f>
        <v/>
      </c>
      <c r="G149" s="31"/>
      <c r="H149" s="32"/>
      <c r="I149" s="32"/>
      <c r="J149" s="32"/>
      <c r="K149" s="32"/>
      <c r="L149" s="32"/>
      <c r="M149" s="32"/>
    </row>
    <row r="150" spans="1:13" ht="15" customHeight="1">
      <c r="A150" s="30"/>
      <c r="B150" s="33" t="str">
        <f>IF(A150="","",IFERROR(INDEX(품목마스터!$B$2:$B$300,MATCH(A150,품목마스터!$A$2:$A$300,0)),"※미등록"))</f>
        <v/>
      </c>
      <c r="C150" s="30"/>
      <c r="D150" s="33" t="str">
        <f>IF(C150="","",IFERROR(INDEX(협력사마스터!$B$2:$B$300,MATCH(C150,협력사마스터!$A$2:$A$300,0)),"※미등록"))</f>
        <v/>
      </c>
      <c r="E150" s="32"/>
      <c r="F150" s="33" t="str">
        <f>IF(E150="","",IFERROR(INDEX(담당자마스터!$B$2:$B$300,MATCH(E150,담당자마스터!$A$2:$A$300,0)),"※미등록"))</f>
        <v/>
      </c>
      <c r="G150" s="31"/>
      <c r="H150" s="32"/>
      <c r="I150" s="32"/>
      <c r="J150" s="32"/>
      <c r="K150" s="32"/>
      <c r="L150" s="32"/>
      <c r="M150" s="32"/>
    </row>
    <row r="151" spans="1:13" ht="15" customHeight="1">
      <c r="A151" s="30"/>
      <c r="B151" s="33" t="str">
        <f>IF(A151="","",IFERROR(INDEX(품목마스터!$B$2:$B$300,MATCH(A151,품목마스터!$A$2:$A$300,0)),"※미등록"))</f>
        <v/>
      </c>
      <c r="C151" s="30"/>
      <c r="D151" s="33" t="str">
        <f>IF(C151="","",IFERROR(INDEX(협력사마스터!$B$2:$B$300,MATCH(C151,협력사마스터!$A$2:$A$300,0)),"※미등록"))</f>
        <v/>
      </c>
      <c r="E151" s="32"/>
      <c r="F151" s="33" t="str">
        <f>IF(E151="","",IFERROR(INDEX(담당자마스터!$B$2:$B$300,MATCH(E151,담당자마스터!$A$2:$A$300,0)),"※미등록"))</f>
        <v/>
      </c>
      <c r="G151" s="31"/>
      <c r="H151" s="32"/>
      <c r="I151" s="32"/>
      <c r="J151" s="32"/>
      <c r="K151" s="32"/>
      <c r="L151" s="32"/>
      <c r="M151" s="32"/>
    </row>
    <row r="152" spans="1:13" ht="15" customHeight="1">
      <c r="A152" s="30"/>
      <c r="B152" s="33" t="str">
        <f>IF(A152="","",IFERROR(INDEX(품목마스터!$B$2:$B$300,MATCH(A152,품목마스터!$A$2:$A$300,0)),"※미등록"))</f>
        <v/>
      </c>
      <c r="C152" s="30"/>
      <c r="D152" s="33" t="str">
        <f>IF(C152="","",IFERROR(INDEX(협력사마스터!$B$2:$B$300,MATCH(C152,협력사마스터!$A$2:$A$300,0)),"※미등록"))</f>
        <v/>
      </c>
      <c r="E152" s="32"/>
      <c r="F152" s="33" t="str">
        <f>IF(E152="","",IFERROR(INDEX(담당자마스터!$B$2:$B$300,MATCH(E152,담당자마스터!$A$2:$A$300,0)),"※미등록"))</f>
        <v/>
      </c>
      <c r="G152" s="31"/>
      <c r="H152" s="32"/>
      <c r="I152" s="32"/>
      <c r="J152" s="32"/>
      <c r="K152" s="32"/>
      <c r="L152" s="32"/>
      <c r="M152" s="32"/>
    </row>
    <row r="153" spans="1:13" ht="15" customHeight="1">
      <c r="A153" s="30"/>
      <c r="B153" s="33" t="str">
        <f>IF(A153="","",IFERROR(INDEX(품목마스터!$B$2:$B$300,MATCH(A153,품목마스터!$A$2:$A$300,0)),"※미등록"))</f>
        <v/>
      </c>
      <c r="C153" s="30"/>
      <c r="D153" s="33" t="str">
        <f>IF(C153="","",IFERROR(INDEX(협력사마스터!$B$2:$B$300,MATCH(C153,협력사마스터!$A$2:$A$300,0)),"※미등록"))</f>
        <v/>
      </c>
      <c r="E153" s="32"/>
      <c r="F153" s="33" t="str">
        <f>IF(E153="","",IFERROR(INDEX(담당자마스터!$B$2:$B$300,MATCH(E153,담당자마스터!$A$2:$A$300,0)),"※미등록"))</f>
        <v/>
      </c>
      <c r="G153" s="31"/>
      <c r="H153" s="32"/>
      <c r="I153" s="32"/>
      <c r="J153" s="32"/>
      <c r="K153" s="32"/>
      <c r="L153" s="32"/>
      <c r="M153" s="32"/>
    </row>
    <row r="154" spans="1:13" ht="15" customHeight="1">
      <c r="A154" s="30"/>
      <c r="B154" s="33" t="str">
        <f>IF(A154="","",IFERROR(INDEX(품목마스터!$B$2:$B$300,MATCH(A154,품목마스터!$A$2:$A$300,0)),"※미등록"))</f>
        <v/>
      </c>
      <c r="C154" s="30"/>
      <c r="D154" s="33" t="str">
        <f>IF(C154="","",IFERROR(INDEX(협력사마스터!$B$2:$B$300,MATCH(C154,협력사마스터!$A$2:$A$300,0)),"※미등록"))</f>
        <v/>
      </c>
      <c r="E154" s="32"/>
      <c r="F154" s="33" t="str">
        <f>IF(E154="","",IFERROR(INDEX(담당자마스터!$B$2:$B$300,MATCH(E154,담당자마스터!$A$2:$A$300,0)),"※미등록"))</f>
        <v/>
      </c>
      <c r="G154" s="31"/>
      <c r="H154" s="32"/>
      <c r="I154" s="32"/>
      <c r="J154" s="32"/>
      <c r="K154" s="32"/>
      <c r="L154" s="32"/>
      <c r="M154" s="32"/>
    </row>
    <row r="155" spans="1:13" ht="15" customHeight="1">
      <c r="A155" s="30"/>
      <c r="B155" s="33" t="str">
        <f>IF(A155="","",IFERROR(INDEX(품목마스터!$B$2:$B$300,MATCH(A155,품목마스터!$A$2:$A$300,0)),"※미등록"))</f>
        <v/>
      </c>
      <c r="C155" s="30"/>
      <c r="D155" s="33" t="str">
        <f>IF(C155="","",IFERROR(INDEX(협력사마스터!$B$2:$B$300,MATCH(C155,협력사마스터!$A$2:$A$300,0)),"※미등록"))</f>
        <v/>
      </c>
      <c r="E155" s="32"/>
      <c r="F155" s="33" t="str">
        <f>IF(E155="","",IFERROR(INDEX(담당자마스터!$B$2:$B$300,MATCH(E155,담당자마스터!$A$2:$A$300,0)),"※미등록"))</f>
        <v/>
      </c>
      <c r="G155" s="31"/>
      <c r="H155" s="32"/>
      <c r="I155" s="32"/>
      <c r="J155" s="32"/>
      <c r="K155" s="32"/>
      <c r="L155" s="32"/>
      <c r="M155" s="32"/>
    </row>
    <row r="156" spans="1:13" ht="15" customHeight="1">
      <c r="A156" s="30"/>
      <c r="B156" s="33" t="str">
        <f>IF(A156="","",IFERROR(INDEX(품목마스터!$B$2:$B$300,MATCH(A156,품목마스터!$A$2:$A$300,0)),"※미등록"))</f>
        <v/>
      </c>
      <c r="C156" s="30"/>
      <c r="D156" s="33" t="str">
        <f>IF(C156="","",IFERROR(INDEX(협력사마스터!$B$2:$B$300,MATCH(C156,협력사마스터!$A$2:$A$300,0)),"※미등록"))</f>
        <v/>
      </c>
      <c r="E156" s="32"/>
      <c r="F156" s="33" t="str">
        <f>IF(E156="","",IFERROR(INDEX(담당자마스터!$B$2:$B$300,MATCH(E156,담당자마스터!$A$2:$A$300,0)),"※미등록"))</f>
        <v/>
      </c>
      <c r="G156" s="31"/>
      <c r="H156" s="32"/>
      <c r="I156" s="32"/>
      <c r="J156" s="32"/>
      <c r="K156" s="32"/>
      <c r="L156" s="32"/>
      <c r="M156" s="32"/>
    </row>
    <row r="157" spans="1:13" ht="15" customHeight="1">
      <c r="A157" s="30"/>
      <c r="B157" s="33" t="str">
        <f>IF(A157="","",IFERROR(INDEX(품목마스터!$B$2:$B$300,MATCH(A157,품목마스터!$A$2:$A$300,0)),"※미등록"))</f>
        <v/>
      </c>
      <c r="C157" s="30"/>
      <c r="D157" s="33" t="str">
        <f>IF(C157="","",IFERROR(INDEX(협력사마스터!$B$2:$B$300,MATCH(C157,협력사마스터!$A$2:$A$300,0)),"※미등록"))</f>
        <v/>
      </c>
      <c r="E157" s="32"/>
      <c r="F157" s="33" t="str">
        <f>IF(E157="","",IFERROR(INDEX(담당자마스터!$B$2:$B$300,MATCH(E157,담당자마스터!$A$2:$A$300,0)),"※미등록"))</f>
        <v/>
      </c>
      <c r="G157" s="31"/>
      <c r="H157" s="32"/>
      <c r="I157" s="32"/>
      <c r="J157" s="32"/>
      <c r="K157" s="32"/>
      <c r="L157" s="32"/>
      <c r="M157" s="32"/>
    </row>
    <row r="158" spans="1:13" ht="15" customHeight="1">
      <c r="A158" s="30"/>
      <c r="B158" s="33" t="str">
        <f>IF(A158="","",IFERROR(INDEX(품목마스터!$B$2:$B$300,MATCH(A158,품목마스터!$A$2:$A$300,0)),"※미등록"))</f>
        <v/>
      </c>
      <c r="C158" s="30"/>
      <c r="D158" s="33" t="str">
        <f>IF(C158="","",IFERROR(INDEX(협력사마스터!$B$2:$B$300,MATCH(C158,협력사마스터!$A$2:$A$300,0)),"※미등록"))</f>
        <v/>
      </c>
      <c r="E158" s="32"/>
      <c r="F158" s="33" t="str">
        <f>IF(E158="","",IFERROR(INDEX(담당자마스터!$B$2:$B$300,MATCH(E158,담당자마스터!$A$2:$A$300,0)),"※미등록"))</f>
        <v/>
      </c>
      <c r="G158" s="31"/>
      <c r="H158" s="32"/>
      <c r="I158" s="32"/>
      <c r="J158" s="32"/>
      <c r="K158" s="32"/>
      <c r="L158" s="32"/>
      <c r="M158" s="32"/>
    </row>
    <row r="159" spans="1:13" ht="15" customHeight="1">
      <c r="A159" s="30"/>
      <c r="B159" s="33" t="str">
        <f>IF(A159="","",IFERROR(INDEX(품목마스터!$B$2:$B$300,MATCH(A159,품목마스터!$A$2:$A$300,0)),"※미등록"))</f>
        <v/>
      </c>
      <c r="C159" s="30"/>
      <c r="D159" s="33" t="str">
        <f>IF(C159="","",IFERROR(INDEX(협력사마스터!$B$2:$B$300,MATCH(C159,협력사마스터!$A$2:$A$300,0)),"※미등록"))</f>
        <v/>
      </c>
      <c r="E159" s="32"/>
      <c r="F159" s="33" t="str">
        <f>IF(E159="","",IFERROR(INDEX(담당자마스터!$B$2:$B$300,MATCH(E159,담당자마스터!$A$2:$A$300,0)),"※미등록"))</f>
        <v/>
      </c>
      <c r="G159" s="31"/>
      <c r="H159" s="32"/>
      <c r="I159" s="32"/>
      <c r="J159" s="32"/>
      <c r="K159" s="32"/>
      <c r="L159" s="32"/>
      <c r="M159" s="32"/>
    </row>
    <row r="160" spans="1:13" ht="15" customHeight="1">
      <c r="A160" s="30"/>
      <c r="B160" s="33" t="str">
        <f>IF(A160="","",IFERROR(INDEX(품목마스터!$B$2:$B$300,MATCH(A160,품목마스터!$A$2:$A$300,0)),"※미등록"))</f>
        <v/>
      </c>
      <c r="C160" s="30"/>
      <c r="D160" s="33" t="str">
        <f>IF(C160="","",IFERROR(INDEX(협력사마스터!$B$2:$B$300,MATCH(C160,협력사마스터!$A$2:$A$300,0)),"※미등록"))</f>
        <v/>
      </c>
      <c r="E160" s="32"/>
      <c r="F160" s="33" t="str">
        <f>IF(E160="","",IFERROR(INDEX(담당자마스터!$B$2:$B$300,MATCH(E160,담당자마스터!$A$2:$A$300,0)),"※미등록"))</f>
        <v/>
      </c>
      <c r="G160" s="31"/>
      <c r="H160" s="32"/>
      <c r="I160" s="32"/>
      <c r="J160" s="32"/>
      <c r="K160" s="32"/>
      <c r="L160" s="32"/>
      <c r="M160" s="32"/>
    </row>
    <row r="161" spans="1:13" ht="15" customHeight="1">
      <c r="A161" s="30"/>
      <c r="B161" s="33" t="str">
        <f>IF(A161="","",IFERROR(INDEX(품목마스터!$B$2:$B$300,MATCH(A161,품목마스터!$A$2:$A$300,0)),"※미등록"))</f>
        <v/>
      </c>
      <c r="C161" s="30"/>
      <c r="D161" s="33" t="str">
        <f>IF(C161="","",IFERROR(INDEX(협력사마스터!$B$2:$B$300,MATCH(C161,협력사마스터!$A$2:$A$300,0)),"※미등록"))</f>
        <v/>
      </c>
      <c r="E161" s="32"/>
      <c r="F161" s="33" t="str">
        <f>IF(E161="","",IFERROR(INDEX(담당자마스터!$B$2:$B$300,MATCH(E161,담당자마스터!$A$2:$A$300,0)),"※미등록"))</f>
        <v/>
      </c>
      <c r="G161" s="31"/>
      <c r="H161" s="32"/>
      <c r="I161" s="32"/>
      <c r="J161" s="32"/>
      <c r="K161" s="32"/>
      <c r="L161" s="32"/>
      <c r="M161" s="32"/>
    </row>
    <row r="162" spans="1:13" ht="15" customHeight="1">
      <c r="A162" s="30"/>
      <c r="B162" s="33" t="str">
        <f>IF(A162="","",IFERROR(INDEX(품목마스터!$B$2:$B$300,MATCH(A162,품목마스터!$A$2:$A$300,0)),"※미등록"))</f>
        <v/>
      </c>
      <c r="C162" s="30"/>
      <c r="D162" s="33" t="str">
        <f>IF(C162="","",IFERROR(INDEX(협력사마스터!$B$2:$B$300,MATCH(C162,협력사마스터!$A$2:$A$300,0)),"※미등록"))</f>
        <v/>
      </c>
      <c r="E162" s="32"/>
      <c r="F162" s="33" t="str">
        <f>IF(E162="","",IFERROR(INDEX(담당자마스터!$B$2:$B$300,MATCH(E162,담당자마스터!$A$2:$A$300,0)),"※미등록"))</f>
        <v/>
      </c>
      <c r="G162" s="31"/>
      <c r="H162" s="32"/>
      <c r="I162" s="32"/>
      <c r="J162" s="32"/>
      <c r="K162" s="32"/>
      <c r="L162" s="32"/>
      <c r="M162" s="32"/>
    </row>
    <row r="163" spans="1:13" ht="15" customHeight="1">
      <c r="A163" s="30"/>
      <c r="B163" s="33" t="str">
        <f>IF(A163="","",IFERROR(INDEX(품목마스터!$B$2:$B$300,MATCH(A163,품목마스터!$A$2:$A$300,0)),"※미등록"))</f>
        <v/>
      </c>
      <c r="C163" s="30"/>
      <c r="D163" s="33" t="str">
        <f>IF(C163="","",IFERROR(INDEX(협력사마스터!$B$2:$B$300,MATCH(C163,협력사마스터!$A$2:$A$300,0)),"※미등록"))</f>
        <v/>
      </c>
      <c r="E163" s="32"/>
      <c r="F163" s="33" t="str">
        <f>IF(E163="","",IFERROR(INDEX(담당자마스터!$B$2:$B$300,MATCH(E163,담당자마스터!$A$2:$A$300,0)),"※미등록"))</f>
        <v/>
      </c>
      <c r="G163" s="31"/>
      <c r="H163" s="32"/>
      <c r="I163" s="32"/>
      <c r="J163" s="32"/>
      <c r="K163" s="32"/>
      <c r="L163" s="32"/>
      <c r="M163" s="32"/>
    </row>
    <row r="164" spans="1:13" ht="15" customHeight="1">
      <c r="A164" s="30"/>
      <c r="B164" s="33" t="str">
        <f>IF(A164="","",IFERROR(INDEX(품목마스터!$B$2:$B$300,MATCH(A164,품목마스터!$A$2:$A$300,0)),"※미등록"))</f>
        <v/>
      </c>
      <c r="C164" s="30"/>
      <c r="D164" s="33" t="str">
        <f>IF(C164="","",IFERROR(INDEX(협력사마스터!$B$2:$B$300,MATCH(C164,협력사마스터!$A$2:$A$300,0)),"※미등록"))</f>
        <v/>
      </c>
      <c r="E164" s="32"/>
      <c r="F164" s="33" t="str">
        <f>IF(E164="","",IFERROR(INDEX(담당자마스터!$B$2:$B$300,MATCH(E164,담당자마스터!$A$2:$A$300,0)),"※미등록"))</f>
        <v/>
      </c>
      <c r="G164" s="31"/>
      <c r="H164" s="32"/>
      <c r="I164" s="32"/>
      <c r="J164" s="32"/>
      <c r="K164" s="32"/>
      <c r="L164" s="32"/>
      <c r="M164" s="32"/>
    </row>
    <row r="165" spans="1:13" ht="15" customHeight="1">
      <c r="A165" s="30"/>
      <c r="B165" s="33" t="str">
        <f>IF(A165="","",IFERROR(INDEX(품목마스터!$B$2:$B$300,MATCH(A165,품목마스터!$A$2:$A$300,0)),"※미등록"))</f>
        <v/>
      </c>
      <c r="C165" s="30"/>
      <c r="D165" s="33" t="str">
        <f>IF(C165="","",IFERROR(INDEX(협력사마스터!$B$2:$B$300,MATCH(C165,협력사마스터!$A$2:$A$300,0)),"※미등록"))</f>
        <v/>
      </c>
      <c r="E165" s="32"/>
      <c r="F165" s="33" t="str">
        <f>IF(E165="","",IFERROR(INDEX(담당자마스터!$B$2:$B$300,MATCH(E165,담당자마스터!$A$2:$A$300,0)),"※미등록"))</f>
        <v/>
      </c>
      <c r="G165" s="31"/>
      <c r="H165" s="32"/>
      <c r="I165" s="32"/>
      <c r="J165" s="32"/>
      <c r="K165" s="32"/>
      <c r="L165" s="32"/>
      <c r="M165" s="32"/>
    </row>
    <row r="166" spans="1:13" ht="15" customHeight="1">
      <c r="A166" s="30"/>
      <c r="B166" s="33" t="str">
        <f>IF(A166="","",IFERROR(INDEX(품목마스터!$B$2:$B$300,MATCH(A166,품목마스터!$A$2:$A$300,0)),"※미등록"))</f>
        <v/>
      </c>
      <c r="C166" s="30"/>
      <c r="D166" s="33" t="str">
        <f>IF(C166="","",IFERROR(INDEX(협력사마스터!$B$2:$B$300,MATCH(C166,협력사마스터!$A$2:$A$300,0)),"※미등록"))</f>
        <v/>
      </c>
      <c r="E166" s="32"/>
      <c r="F166" s="33" t="str">
        <f>IF(E166="","",IFERROR(INDEX(담당자마스터!$B$2:$B$300,MATCH(E166,담당자마스터!$A$2:$A$300,0)),"※미등록"))</f>
        <v/>
      </c>
      <c r="G166" s="31"/>
      <c r="H166" s="32"/>
      <c r="I166" s="32"/>
      <c r="J166" s="32"/>
      <c r="K166" s="32"/>
      <c r="L166" s="32"/>
      <c r="M166" s="32"/>
    </row>
    <row r="167" spans="1:13" ht="15" customHeight="1">
      <c r="A167" s="30"/>
      <c r="B167" s="33" t="str">
        <f>IF(A167="","",IFERROR(INDEX(품목마스터!$B$2:$B$300,MATCH(A167,품목마스터!$A$2:$A$300,0)),"※미등록"))</f>
        <v/>
      </c>
      <c r="C167" s="30"/>
      <c r="D167" s="33" t="str">
        <f>IF(C167="","",IFERROR(INDEX(협력사마스터!$B$2:$B$300,MATCH(C167,협력사마스터!$A$2:$A$300,0)),"※미등록"))</f>
        <v/>
      </c>
      <c r="E167" s="32"/>
      <c r="F167" s="33" t="str">
        <f>IF(E167="","",IFERROR(INDEX(담당자마스터!$B$2:$B$300,MATCH(E167,담당자마스터!$A$2:$A$300,0)),"※미등록"))</f>
        <v/>
      </c>
      <c r="G167" s="31"/>
      <c r="H167" s="32"/>
      <c r="I167" s="32"/>
      <c r="J167" s="32"/>
      <c r="K167" s="32"/>
      <c r="L167" s="32"/>
      <c r="M167" s="32"/>
    </row>
    <row r="168" spans="1:13" ht="15" customHeight="1">
      <c r="A168" s="30"/>
      <c r="B168" s="33" t="str">
        <f>IF(A168="","",IFERROR(INDEX(품목마스터!$B$2:$B$300,MATCH(A168,품목마스터!$A$2:$A$300,0)),"※미등록"))</f>
        <v/>
      </c>
      <c r="C168" s="30"/>
      <c r="D168" s="33" t="str">
        <f>IF(C168="","",IFERROR(INDEX(협력사마스터!$B$2:$B$300,MATCH(C168,협력사마스터!$A$2:$A$300,0)),"※미등록"))</f>
        <v/>
      </c>
      <c r="E168" s="32"/>
      <c r="F168" s="33" t="str">
        <f>IF(E168="","",IFERROR(INDEX(담당자마스터!$B$2:$B$300,MATCH(E168,담당자마스터!$A$2:$A$300,0)),"※미등록"))</f>
        <v/>
      </c>
      <c r="G168" s="31"/>
      <c r="H168" s="32"/>
      <c r="I168" s="32"/>
      <c r="J168" s="32"/>
      <c r="K168" s="32"/>
      <c r="L168" s="32"/>
      <c r="M168" s="32"/>
    </row>
    <row r="169" spans="1:13" ht="15" customHeight="1">
      <c r="A169" s="30"/>
      <c r="B169" s="33" t="str">
        <f>IF(A169="","",IFERROR(INDEX(품목마스터!$B$2:$B$300,MATCH(A169,품목마스터!$A$2:$A$300,0)),"※미등록"))</f>
        <v/>
      </c>
      <c r="C169" s="30"/>
      <c r="D169" s="33" t="str">
        <f>IF(C169="","",IFERROR(INDEX(협력사마스터!$B$2:$B$300,MATCH(C169,협력사마스터!$A$2:$A$300,0)),"※미등록"))</f>
        <v/>
      </c>
      <c r="E169" s="32"/>
      <c r="F169" s="33" t="str">
        <f>IF(E169="","",IFERROR(INDEX(담당자마스터!$B$2:$B$300,MATCH(E169,담당자마스터!$A$2:$A$300,0)),"※미등록"))</f>
        <v/>
      </c>
      <c r="G169" s="31"/>
      <c r="H169" s="32"/>
      <c r="I169" s="32"/>
      <c r="J169" s="32"/>
      <c r="K169" s="32"/>
      <c r="L169" s="32"/>
      <c r="M169" s="32"/>
    </row>
    <row r="170" spans="1:13" ht="15" customHeight="1">
      <c r="A170" s="30"/>
      <c r="B170" s="33" t="str">
        <f>IF(A170="","",IFERROR(INDEX(품목마스터!$B$2:$B$300,MATCH(A170,품목마스터!$A$2:$A$300,0)),"※미등록"))</f>
        <v/>
      </c>
      <c r="C170" s="30"/>
      <c r="D170" s="33" t="str">
        <f>IF(C170="","",IFERROR(INDEX(협력사마스터!$B$2:$B$300,MATCH(C170,협력사마스터!$A$2:$A$300,0)),"※미등록"))</f>
        <v/>
      </c>
      <c r="E170" s="32"/>
      <c r="F170" s="33" t="str">
        <f>IF(E170="","",IFERROR(INDEX(담당자마스터!$B$2:$B$300,MATCH(E170,담당자마스터!$A$2:$A$300,0)),"※미등록"))</f>
        <v/>
      </c>
      <c r="G170" s="31"/>
      <c r="H170" s="32"/>
      <c r="I170" s="32"/>
      <c r="J170" s="32"/>
      <c r="K170" s="32"/>
      <c r="L170" s="32"/>
      <c r="M170" s="32"/>
    </row>
    <row r="171" spans="1:13" ht="15" customHeight="1">
      <c r="A171" s="30"/>
      <c r="B171" s="33" t="str">
        <f>IF(A171="","",IFERROR(INDEX(품목마스터!$B$2:$B$300,MATCH(A171,품목마스터!$A$2:$A$300,0)),"※미등록"))</f>
        <v/>
      </c>
      <c r="C171" s="30"/>
      <c r="D171" s="33" t="str">
        <f>IF(C171="","",IFERROR(INDEX(협력사마스터!$B$2:$B$300,MATCH(C171,협력사마스터!$A$2:$A$300,0)),"※미등록"))</f>
        <v/>
      </c>
      <c r="E171" s="32"/>
      <c r="F171" s="33" t="str">
        <f>IF(E171="","",IFERROR(INDEX(담당자마스터!$B$2:$B$300,MATCH(E171,담당자마스터!$A$2:$A$300,0)),"※미등록"))</f>
        <v/>
      </c>
      <c r="G171" s="31"/>
      <c r="H171" s="32"/>
      <c r="I171" s="32"/>
      <c r="J171" s="32"/>
      <c r="K171" s="32"/>
      <c r="L171" s="32"/>
      <c r="M171" s="32"/>
    </row>
    <row r="172" spans="1:13" ht="15" customHeight="1">
      <c r="A172" s="30"/>
      <c r="B172" s="33" t="str">
        <f>IF(A172="","",IFERROR(INDEX(품목마스터!$B$2:$B$300,MATCH(A172,품목마스터!$A$2:$A$300,0)),"※미등록"))</f>
        <v/>
      </c>
      <c r="C172" s="30"/>
      <c r="D172" s="33" t="str">
        <f>IF(C172="","",IFERROR(INDEX(협력사마스터!$B$2:$B$300,MATCH(C172,협력사마스터!$A$2:$A$300,0)),"※미등록"))</f>
        <v/>
      </c>
      <c r="E172" s="32"/>
      <c r="F172" s="33" t="str">
        <f>IF(E172="","",IFERROR(INDEX(담당자마스터!$B$2:$B$300,MATCH(E172,담당자마스터!$A$2:$A$300,0)),"※미등록"))</f>
        <v/>
      </c>
      <c r="G172" s="31"/>
      <c r="H172" s="32"/>
      <c r="I172" s="32"/>
      <c r="J172" s="32"/>
      <c r="K172" s="32"/>
      <c r="L172" s="32"/>
      <c r="M172" s="32"/>
    </row>
    <row r="173" spans="1:13" ht="15" customHeight="1">
      <c r="A173" s="30"/>
      <c r="B173" s="33" t="str">
        <f>IF(A173="","",IFERROR(INDEX(품목마스터!$B$2:$B$300,MATCH(A173,품목마스터!$A$2:$A$300,0)),"※미등록"))</f>
        <v/>
      </c>
      <c r="C173" s="30"/>
      <c r="D173" s="33" t="str">
        <f>IF(C173="","",IFERROR(INDEX(협력사마스터!$B$2:$B$300,MATCH(C173,협력사마스터!$A$2:$A$300,0)),"※미등록"))</f>
        <v/>
      </c>
      <c r="E173" s="32"/>
      <c r="F173" s="33" t="str">
        <f>IF(E173="","",IFERROR(INDEX(담당자마스터!$B$2:$B$300,MATCH(E173,담당자마스터!$A$2:$A$300,0)),"※미등록"))</f>
        <v/>
      </c>
      <c r="G173" s="31"/>
      <c r="H173" s="32"/>
      <c r="I173" s="32"/>
      <c r="J173" s="32"/>
      <c r="K173" s="32"/>
      <c r="L173" s="32"/>
      <c r="M173" s="32"/>
    </row>
    <row r="174" spans="1:13" ht="15" customHeight="1">
      <c r="A174" s="30"/>
      <c r="B174" s="33" t="str">
        <f>IF(A174="","",IFERROR(INDEX(품목마스터!$B$2:$B$300,MATCH(A174,품목마스터!$A$2:$A$300,0)),"※미등록"))</f>
        <v/>
      </c>
      <c r="C174" s="30"/>
      <c r="D174" s="33" t="str">
        <f>IF(C174="","",IFERROR(INDEX(협력사마스터!$B$2:$B$300,MATCH(C174,협력사마스터!$A$2:$A$300,0)),"※미등록"))</f>
        <v/>
      </c>
      <c r="E174" s="32"/>
      <c r="F174" s="33" t="str">
        <f>IF(E174="","",IFERROR(INDEX(담당자마스터!$B$2:$B$300,MATCH(E174,담당자마스터!$A$2:$A$300,0)),"※미등록"))</f>
        <v/>
      </c>
      <c r="G174" s="31"/>
      <c r="H174" s="32"/>
      <c r="I174" s="32"/>
      <c r="J174" s="32"/>
      <c r="K174" s="32"/>
      <c r="L174" s="32"/>
      <c r="M174" s="32"/>
    </row>
    <row r="175" spans="1:13" ht="15" customHeight="1">
      <c r="A175" s="30"/>
      <c r="B175" s="33" t="str">
        <f>IF(A175="","",IFERROR(INDEX(품목마스터!$B$2:$B$300,MATCH(A175,품목마스터!$A$2:$A$300,0)),"※미등록"))</f>
        <v/>
      </c>
      <c r="C175" s="30"/>
      <c r="D175" s="33" t="str">
        <f>IF(C175="","",IFERROR(INDEX(협력사마스터!$B$2:$B$300,MATCH(C175,협력사마스터!$A$2:$A$300,0)),"※미등록"))</f>
        <v/>
      </c>
      <c r="E175" s="32"/>
      <c r="F175" s="33" t="str">
        <f>IF(E175="","",IFERROR(INDEX(담당자마스터!$B$2:$B$300,MATCH(E175,담당자마스터!$A$2:$A$300,0)),"※미등록"))</f>
        <v/>
      </c>
      <c r="G175" s="31"/>
      <c r="H175" s="32"/>
      <c r="I175" s="32"/>
      <c r="J175" s="32"/>
      <c r="K175" s="32"/>
      <c r="L175" s="32"/>
      <c r="M175" s="32"/>
    </row>
    <row r="176" spans="1:13" ht="15" customHeight="1">
      <c r="A176" s="30"/>
      <c r="B176" s="33" t="str">
        <f>IF(A176="","",IFERROR(INDEX(품목마스터!$B$2:$B$300,MATCH(A176,품목마스터!$A$2:$A$300,0)),"※미등록"))</f>
        <v/>
      </c>
      <c r="C176" s="30"/>
      <c r="D176" s="33" t="str">
        <f>IF(C176="","",IFERROR(INDEX(협력사마스터!$B$2:$B$300,MATCH(C176,협력사마스터!$A$2:$A$300,0)),"※미등록"))</f>
        <v/>
      </c>
      <c r="E176" s="32"/>
      <c r="F176" s="33" t="str">
        <f>IF(E176="","",IFERROR(INDEX(담당자마스터!$B$2:$B$300,MATCH(E176,담당자마스터!$A$2:$A$300,0)),"※미등록"))</f>
        <v/>
      </c>
      <c r="G176" s="31"/>
      <c r="H176" s="32"/>
      <c r="I176" s="32"/>
      <c r="J176" s="32"/>
      <c r="K176" s="32"/>
      <c r="L176" s="32"/>
      <c r="M176" s="32"/>
    </row>
    <row r="177" spans="1:13" ht="15" customHeight="1">
      <c r="A177" s="30"/>
      <c r="B177" s="33" t="str">
        <f>IF(A177="","",IFERROR(INDEX(품목마스터!$B$2:$B$300,MATCH(A177,품목마스터!$A$2:$A$300,0)),"※미등록"))</f>
        <v/>
      </c>
      <c r="C177" s="30"/>
      <c r="D177" s="33" t="str">
        <f>IF(C177="","",IFERROR(INDEX(협력사마스터!$B$2:$B$300,MATCH(C177,협력사마스터!$A$2:$A$300,0)),"※미등록"))</f>
        <v/>
      </c>
      <c r="E177" s="32"/>
      <c r="F177" s="33" t="str">
        <f>IF(E177="","",IFERROR(INDEX(담당자마스터!$B$2:$B$300,MATCH(E177,담당자마스터!$A$2:$A$300,0)),"※미등록"))</f>
        <v/>
      </c>
      <c r="G177" s="31"/>
      <c r="H177" s="32"/>
      <c r="I177" s="32"/>
      <c r="J177" s="32"/>
      <c r="K177" s="32"/>
      <c r="L177" s="32"/>
      <c r="M177" s="32"/>
    </row>
    <row r="178" spans="1:13" ht="15" customHeight="1">
      <c r="A178" s="30"/>
      <c r="B178" s="33" t="str">
        <f>IF(A178="","",IFERROR(INDEX(품목마스터!$B$2:$B$300,MATCH(A178,품목마스터!$A$2:$A$300,0)),"※미등록"))</f>
        <v/>
      </c>
      <c r="C178" s="30"/>
      <c r="D178" s="33" t="str">
        <f>IF(C178="","",IFERROR(INDEX(협력사마스터!$B$2:$B$300,MATCH(C178,협력사마스터!$A$2:$A$300,0)),"※미등록"))</f>
        <v/>
      </c>
      <c r="E178" s="32"/>
      <c r="F178" s="33" t="str">
        <f>IF(E178="","",IFERROR(INDEX(담당자마스터!$B$2:$B$300,MATCH(E178,담당자마스터!$A$2:$A$300,0)),"※미등록"))</f>
        <v/>
      </c>
      <c r="G178" s="31"/>
      <c r="H178" s="32"/>
      <c r="I178" s="32"/>
      <c r="J178" s="32"/>
      <c r="K178" s="32"/>
      <c r="L178" s="32"/>
      <c r="M178" s="32"/>
    </row>
    <row r="179" spans="1:13" ht="15" customHeight="1">
      <c r="A179" s="30"/>
      <c r="B179" s="33" t="str">
        <f>IF(A179="","",IFERROR(INDEX(품목마스터!$B$2:$B$300,MATCH(A179,품목마스터!$A$2:$A$300,0)),"※미등록"))</f>
        <v/>
      </c>
      <c r="C179" s="30"/>
      <c r="D179" s="33" t="str">
        <f>IF(C179="","",IFERROR(INDEX(협력사마스터!$B$2:$B$300,MATCH(C179,협력사마스터!$A$2:$A$300,0)),"※미등록"))</f>
        <v/>
      </c>
      <c r="E179" s="32"/>
      <c r="F179" s="33" t="str">
        <f>IF(E179="","",IFERROR(INDEX(담당자마스터!$B$2:$B$300,MATCH(E179,담당자마스터!$A$2:$A$300,0)),"※미등록"))</f>
        <v/>
      </c>
      <c r="G179" s="31"/>
      <c r="H179" s="32"/>
      <c r="I179" s="32"/>
      <c r="J179" s="32"/>
      <c r="K179" s="32"/>
      <c r="L179" s="32"/>
      <c r="M179" s="32"/>
    </row>
    <row r="180" spans="1:13" ht="15" customHeight="1">
      <c r="A180" s="30"/>
      <c r="B180" s="33" t="str">
        <f>IF(A180="","",IFERROR(INDEX(품목마스터!$B$2:$B$300,MATCH(A180,품목마스터!$A$2:$A$300,0)),"※미등록"))</f>
        <v/>
      </c>
      <c r="C180" s="30"/>
      <c r="D180" s="33" t="str">
        <f>IF(C180="","",IFERROR(INDEX(협력사마스터!$B$2:$B$300,MATCH(C180,협력사마스터!$A$2:$A$300,0)),"※미등록"))</f>
        <v/>
      </c>
      <c r="E180" s="32"/>
      <c r="F180" s="33" t="str">
        <f>IF(E180="","",IFERROR(INDEX(담당자마스터!$B$2:$B$300,MATCH(E180,담당자마스터!$A$2:$A$300,0)),"※미등록"))</f>
        <v/>
      </c>
      <c r="G180" s="31"/>
      <c r="H180" s="32"/>
      <c r="I180" s="32"/>
      <c r="J180" s="32"/>
      <c r="K180" s="32"/>
      <c r="L180" s="32"/>
      <c r="M180" s="32"/>
    </row>
    <row r="181" spans="1:13" ht="15" customHeight="1">
      <c r="A181" s="30"/>
      <c r="B181" s="33" t="str">
        <f>IF(A181="","",IFERROR(INDEX(품목마스터!$B$2:$B$300,MATCH(A181,품목마스터!$A$2:$A$300,0)),"※미등록"))</f>
        <v/>
      </c>
      <c r="C181" s="30"/>
      <c r="D181" s="33" t="str">
        <f>IF(C181="","",IFERROR(INDEX(협력사마스터!$B$2:$B$300,MATCH(C181,협력사마스터!$A$2:$A$300,0)),"※미등록"))</f>
        <v/>
      </c>
      <c r="E181" s="32"/>
      <c r="F181" s="33" t="str">
        <f>IF(E181="","",IFERROR(INDEX(담당자마스터!$B$2:$B$300,MATCH(E181,담당자마스터!$A$2:$A$300,0)),"※미등록"))</f>
        <v/>
      </c>
      <c r="G181" s="31"/>
      <c r="H181" s="32"/>
      <c r="I181" s="32"/>
      <c r="J181" s="32"/>
      <c r="K181" s="32"/>
      <c r="L181" s="32"/>
      <c r="M181" s="32"/>
    </row>
    <row r="182" spans="1:13" ht="15" customHeight="1">
      <c r="A182" s="30"/>
      <c r="B182" s="33" t="str">
        <f>IF(A182="","",IFERROR(INDEX(품목마스터!$B$2:$B$300,MATCH(A182,품목마스터!$A$2:$A$300,0)),"※미등록"))</f>
        <v/>
      </c>
      <c r="C182" s="30"/>
      <c r="D182" s="33" t="str">
        <f>IF(C182="","",IFERROR(INDEX(협력사마스터!$B$2:$B$300,MATCH(C182,협력사마스터!$A$2:$A$300,0)),"※미등록"))</f>
        <v/>
      </c>
      <c r="E182" s="32"/>
      <c r="F182" s="33" t="str">
        <f>IF(E182="","",IFERROR(INDEX(담당자마스터!$B$2:$B$300,MATCH(E182,담당자마스터!$A$2:$A$300,0)),"※미등록"))</f>
        <v/>
      </c>
      <c r="G182" s="31"/>
      <c r="H182" s="32"/>
      <c r="I182" s="32"/>
      <c r="J182" s="32"/>
      <c r="K182" s="32"/>
      <c r="L182" s="32"/>
      <c r="M182" s="32"/>
    </row>
    <row r="183" spans="1:13" ht="15" customHeight="1">
      <c r="A183" s="30"/>
      <c r="B183" s="33" t="str">
        <f>IF(A183="","",IFERROR(INDEX(품목마스터!$B$2:$B$300,MATCH(A183,품목마스터!$A$2:$A$300,0)),"※미등록"))</f>
        <v/>
      </c>
      <c r="C183" s="30"/>
      <c r="D183" s="33" t="str">
        <f>IF(C183="","",IFERROR(INDEX(협력사마스터!$B$2:$B$300,MATCH(C183,협력사마스터!$A$2:$A$300,0)),"※미등록"))</f>
        <v/>
      </c>
      <c r="E183" s="32"/>
      <c r="F183" s="33" t="str">
        <f>IF(E183="","",IFERROR(INDEX(담당자마스터!$B$2:$B$300,MATCH(E183,담당자마스터!$A$2:$A$300,0)),"※미등록"))</f>
        <v/>
      </c>
      <c r="G183" s="31"/>
      <c r="H183" s="32"/>
      <c r="I183" s="32"/>
      <c r="J183" s="32"/>
      <c r="K183" s="32"/>
      <c r="L183" s="32"/>
      <c r="M183" s="32"/>
    </row>
    <row r="184" spans="1:13" ht="15" customHeight="1">
      <c r="A184" s="30"/>
      <c r="B184" s="33" t="str">
        <f>IF(A184="","",IFERROR(INDEX(품목마스터!$B$2:$B$300,MATCH(A184,품목마스터!$A$2:$A$300,0)),"※미등록"))</f>
        <v/>
      </c>
      <c r="C184" s="30"/>
      <c r="D184" s="33" t="str">
        <f>IF(C184="","",IFERROR(INDEX(협력사마스터!$B$2:$B$300,MATCH(C184,협력사마스터!$A$2:$A$300,0)),"※미등록"))</f>
        <v/>
      </c>
      <c r="E184" s="32"/>
      <c r="F184" s="33" t="str">
        <f>IF(E184="","",IFERROR(INDEX(담당자마스터!$B$2:$B$300,MATCH(E184,담당자마스터!$A$2:$A$300,0)),"※미등록"))</f>
        <v/>
      </c>
      <c r="G184" s="31"/>
      <c r="H184" s="32"/>
      <c r="I184" s="32"/>
      <c r="J184" s="32"/>
      <c r="K184" s="32"/>
      <c r="L184" s="32"/>
      <c r="M184" s="32"/>
    </row>
    <row r="185" spans="1:13" ht="15" customHeight="1">
      <c r="A185" s="30"/>
      <c r="B185" s="33" t="str">
        <f>IF(A185="","",IFERROR(INDEX(품목마스터!$B$2:$B$300,MATCH(A185,품목마스터!$A$2:$A$300,0)),"※미등록"))</f>
        <v/>
      </c>
      <c r="C185" s="30"/>
      <c r="D185" s="33" t="str">
        <f>IF(C185="","",IFERROR(INDEX(협력사마스터!$B$2:$B$300,MATCH(C185,협력사마스터!$A$2:$A$300,0)),"※미등록"))</f>
        <v/>
      </c>
      <c r="E185" s="32"/>
      <c r="F185" s="33" t="str">
        <f>IF(E185="","",IFERROR(INDEX(담당자마스터!$B$2:$B$300,MATCH(E185,담당자마스터!$A$2:$A$300,0)),"※미등록"))</f>
        <v/>
      </c>
      <c r="G185" s="31"/>
      <c r="H185" s="32"/>
      <c r="I185" s="32"/>
      <c r="J185" s="32"/>
      <c r="K185" s="32"/>
      <c r="L185" s="32"/>
      <c r="M185" s="32"/>
    </row>
    <row r="186" spans="1:13" ht="15" customHeight="1">
      <c r="A186" s="30"/>
      <c r="B186" s="33" t="str">
        <f>IF(A186="","",IFERROR(INDEX(품목마스터!$B$2:$B$300,MATCH(A186,품목마스터!$A$2:$A$300,0)),"※미등록"))</f>
        <v/>
      </c>
      <c r="C186" s="30"/>
      <c r="D186" s="33" t="str">
        <f>IF(C186="","",IFERROR(INDEX(협력사마스터!$B$2:$B$300,MATCH(C186,협력사마스터!$A$2:$A$300,0)),"※미등록"))</f>
        <v/>
      </c>
      <c r="E186" s="32"/>
      <c r="F186" s="33" t="str">
        <f>IF(E186="","",IFERROR(INDEX(담당자마스터!$B$2:$B$300,MATCH(E186,담당자마스터!$A$2:$A$300,0)),"※미등록"))</f>
        <v/>
      </c>
      <c r="G186" s="31"/>
      <c r="H186" s="32"/>
      <c r="I186" s="32"/>
      <c r="J186" s="32"/>
      <c r="K186" s="32"/>
      <c r="L186" s="32"/>
      <c r="M186" s="32"/>
    </row>
    <row r="187" spans="1:13" ht="15" customHeight="1">
      <c r="A187" s="30"/>
      <c r="B187" s="33" t="str">
        <f>IF(A187="","",IFERROR(INDEX(품목마스터!$B$2:$B$300,MATCH(A187,품목마스터!$A$2:$A$300,0)),"※미등록"))</f>
        <v/>
      </c>
      <c r="C187" s="30"/>
      <c r="D187" s="33" t="str">
        <f>IF(C187="","",IFERROR(INDEX(협력사마스터!$B$2:$B$300,MATCH(C187,협력사마스터!$A$2:$A$300,0)),"※미등록"))</f>
        <v/>
      </c>
      <c r="E187" s="32"/>
      <c r="F187" s="33" t="str">
        <f>IF(E187="","",IFERROR(INDEX(담당자마스터!$B$2:$B$300,MATCH(E187,담당자마스터!$A$2:$A$300,0)),"※미등록"))</f>
        <v/>
      </c>
      <c r="G187" s="31"/>
      <c r="H187" s="32"/>
      <c r="I187" s="32"/>
      <c r="J187" s="32"/>
      <c r="K187" s="32"/>
      <c r="L187" s="32"/>
      <c r="M187" s="32"/>
    </row>
    <row r="188" spans="1:13" ht="15" customHeight="1">
      <c r="A188" s="30"/>
      <c r="B188" s="33" t="str">
        <f>IF(A188="","",IFERROR(INDEX(품목마스터!$B$2:$B$300,MATCH(A188,품목마스터!$A$2:$A$300,0)),"※미등록"))</f>
        <v/>
      </c>
      <c r="C188" s="30"/>
      <c r="D188" s="33" t="str">
        <f>IF(C188="","",IFERROR(INDEX(협력사마스터!$B$2:$B$300,MATCH(C188,협력사마스터!$A$2:$A$300,0)),"※미등록"))</f>
        <v/>
      </c>
      <c r="E188" s="32"/>
      <c r="F188" s="33" t="str">
        <f>IF(E188="","",IFERROR(INDEX(담당자마스터!$B$2:$B$300,MATCH(E188,담당자마스터!$A$2:$A$300,0)),"※미등록"))</f>
        <v/>
      </c>
      <c r="G188" s="31"/>
      <c r="H188" s="32"/>
      <c r="I188" s="32"/>
      <c r="J188" s="32"/>
      <c r="K188" s="32"/>
      <c r="L188" s="32"/>
      <c r="M188" s="32"/>
    </row>
    <row r="189" spans="1:13" ht="15" customHeight="1">
      <c r="A189" s="30"/>
      <c r="B189" s="33" t="str">
        <f>IF(A189="","",IFERROR(INDEX(품목마스터!$B$2:$B$300,MATCH(A189,품목마스터!$A$2:$A$300,0)),"※미등록"))</f>
        <v/>
      </c>
      <c r="C189" s="30"/>
      <c r="D189" s="33" t="str">
        <f>IF(C189="","",IFERROR(INDEX(협력사마스터!$B$2:$B$300,MATCH(C189,협력사마스터!$A$2:$A$300,0)),"※미등록"))</f>
        <v/>
      </c>
      <c r="E189" s="32"/>
      <c r="F189" s="33" t="str">
        <f>IF(E189="","",IFERROR(INDEX(담당자마스터!$B$2:$B$300,MATCH(E189,담당자마스터!$A$2:$A$300,0)),"※미등록"))</f>
        <v/>
      </c>
      <c r="G189" s="31"/>
      <c r="H189" s="32"/>
      <c r="I189" s="32"/>
      <c r="J189" s="32"/>
      <c r="K189" s="32"/>
      <c r="L189" s="32"/>
      <c r="M189" s="32"/>
    </row>
    <row r="190" spans="1:13" ht="15" customHeight="1">
      <c r="A190" s="30"/>
      <c r="B190" s="33" t="str">
        <f>IF(A190="","",IFERROR(INDEX(품목마스터!$B$2:$B$300,MATCH(A190,품목마스터!$A$2:$A$300,0)),"※미등록"))</f>
        <v/>
      </c>
      <c r="C190" s="30"/>
      <c r="D190" s="33" t="str">
        <f>IF(C190="","",IFERROR(INDEX(협력사마스터!$B$2:$B$300,MATCH(C190,협력사마스터!$A$2:$A$300,0)),"※미등록"))</f>
        <v/>
      </c>
      <c r="E190" s="32"/>
      <c r="F190" s="33" t="str">
        <f>IF(E190="","",IFERROR(INDEX(담당자마스터!$B$2:$B$300,MATCH(E190,담당자마스터!$A$2:$A$300,0)),"※미등록"))</f>
        <v/>
      </c>
      <c r="G190" s="31"/>
      <c r="H190" s="32"/>
      <c r="I190" s="32"/>
      <c r="J190" s="32"/>
      <c r="K190" s="32"/>
      <c r="L190" s="32"/>
      <c r="M190" s="32"/>
    </row>
    <row r="191" spans="1:13" ht="15" customHeight="1">
      <c r="A191" s="30"/>
      <c r="B191" s="33" t="str">
        <f>IF(A191="","",IFERROR(INDEX(품목마스터!$B$2:$B$300,MATCH(A191,품목마스터!$A$2:$A$300,0)),"※미등록"))</f>
        <v/>
      </c>
      <c r="C191" s="30"/>
      <c r="D191" s="33" t="str">
        <f>IF(C191="","",IFERROR(INDEX(협력사마스터!$B$2:$B$300,MATCH(C191,협력사마스터!$A$2:$A$300,0)),"※미등록"))</f>
        <v/>
      </c>
      <c r="E191" s="32"/>
      <c r="F191" s="33" t="str">
        <f>IF(E191="","",IFERROR(INDEX(담당자마스터!$B$2:$B$300,MATCH(E191,담당자마스터!$A$2:$A$300,0)),"※미등록"))</f>
        <v/>
      </c>
      <c r="G191" s="31"/>
      <c r="H191" s="32"/>
      <c r="I191" s="32"/>
      <c r="J191" s="32"/>
      <c r="K191" s="32"/>
      <c r="L191" s="32"/>
      <c r="M191" s="32"/>
    </row>
    <row r="192" spans="1:13" ht="15" customHeight="1">
      <c r="A192" s="30"/>
      <c r="B192" s="33" t="str">
        <f>IF(A192="","",IFERROR(INDEX(품목마스터!$B$2:$B$300,MATCH(A192,품목마스터!$A$2:$A$300,0)),"※미등록"))</f>
        <v/>
      </c>
      <c r="C192" s="30"/>
      <c r="D192" s="33" t="str">
        <f>IF(C192="","",IFERROR(INDEX(협력사마스터!$B$2:$B$300,MATCH(C192,협력사마스터!$A$2:$A$300,0)),"※미등록"))</f>
        <v/>
      </c>
      <c r="E192" s="32"/>
      <c r="F192" s="33" t="str">
        <f>IF(E192="","",IFERROR(INDEX(담당자마스터!$B$2:$B$300,MATCH(E192,담당자마스터!$A$2:$A$300,0)),"※미등록"))</f>
        <v/>
      </c>
      <c r="G192" s="31"/>
      <c r="H192" s="32"/>
      <c r="I192" s="32"/>
      <c r="J192" s="32"/>
      <c r="K192" s="32"/>
      <c r="L192" s="32"/>
      <c r="M192" s="32"/>
    </row>
    <row r="193" spans="1:13" ht="15" customHeight="1">
      <c r="A193" s="30"/>
      <c r="B193" s="33" t="str">
        <f>IF(A193="","",IFERROR(INDEX(품목마스터!$B$2:$B$300,MATCH(A193,품목마스터!$A$2:$A$300,0)),"※미등록"))</f>
        <v/>
      </c>
      <c r="C193" s="30"/>
      <c r="D193" s="33" t="str">
        <f>IF(C193="","",IFERROR(INDEX(협력사마스터!$B$2:$B$300,MATCH(C193,협력사마스터!$A$2:$A$300,0)),"※미등록"))</f>
        <v/>
      </c>
      <c r="E193" s="32"/>
      <c r="F193" s="33" t="str">
        <f>IF(E193="","",IFERROR(INDEX(담당자마스터!$B$2:$B$300,MATCH(E193,담당자마스터!$A$2:$A$300,0)),"※미등록"))</f>
        <v/>
      </c>
      <c r="G193" s="31"/>
      <c r="H193" s="32"/>
      <c r="I193" s="32"/>
      <c r="J193" s="32"/>
      <c r="K193" s="32"/>
      <c r="L193" s="32"/>
      <c r="M193" s="32"/>
    </row>
    <row r="194" spans="1:13" ht="15" customHeight="1">
      <c r="A194" s="30"/>
      <c r="B194" s="33" t="str">
        <f>IF(A194="","",IFERROR(INDEX(품목마스터!$B$2:$B$300,MATCH(A194,품목마스터!$A$2:$A$300,0)),"※미등록"))</f>
        <v/>
      </c>
      <c r="C194" s="30"/>
      <c r="D194" s="33" t="str">
        <f>IF(C194="","",IFERROR(INDEX(협력사마스터!$B$2:$B$300,MATCH(C194,협력사마스터!$A$2:$A$300,0)),"※미등록"))</f>
        <v/>
      </c>
      <c r="E194" s="32"/>
      <c r="F194" s="33" t="str">
        <f>IF(E194="","",IFERROR(INDEX(담당자마스터!$B$2:$B$300,MATCH(E194,담당자마스터!$A$2:$A$300,0)),"※미등록"))</f>
        <v/>
      </c>
      <c r="G194" s="31"/>
      <c r="H194" s="32"/>
      <c r="I194" s="32"/>
      <c r="J194" s="32"/>
      <c r="K194" s="32"/>
      <c r="L194" s="32"/>
      <c r="M194" s="32"/>
    </row>
    <row r="195" spans="1:13" ht="15" customHeight="1">
      <c r="A195" s="30"/>
      <c r="B195" s="33" t="str">
        <f>IF(A195="","",IFERROR(INDEX(품목마스터!$B$2:$B$300,MATCH(A195,품목마스터!$A$2:$A$300,0)),"※미등록"))</f>
        <v/>
      </c>
      <c r="C195" s="30"/>
      <c r="D195" s="33" t="str">
        <f>IF(C195="","",IFERROR(INDEX(협력사마스터!$B$2:$B$300,MATCH(C195,협력사마스터!$A$2:$A$300,0)),"※미등록"))</f>
        <v/>
      </c>
      <c r="E195" s="32"/>
      <c r="F195" s="33" t="str">
        <f>IF(E195="","",IFERROR(INDEX(담당자마스터!$B$2:$B$300,MATCH(E195,담당자마스터!$A$2:$A$300,0)),"※미등록"))</f>
        <v/>
      </c>
      <c r="G195" s="31"/>
      <c r="H195" s="32"/>
      <c r="I195" s="32"/>
      <c r="J195" s="32"/>
      <c r="K195" s="32"/>
      <c r="L195" s="32"/>
      <c r="M195" s="32"/>
    </row>
    <row r="196" spans="1:13" ht="15" customHeight="1">
      <c r="A196" s="30"/>
      <c r="B196" s="33" t="str">
        <f>IF(A196="","",IFERROR(INDEX(품목마스터!$B$2:$B$300,MATCH(A196,품목마스터!$A$2:$A$300,0)),"※미등록"))</f>
        <v/>
      </c>
      <c r="C196" s="30"/>
      <c r="D196" s="33" t="str">
        <f>IF(C196="","",IFERROR(INDEX(협력사마스터!$B$2:$B$300,MATCH(C196,협력사마스터!$A$2:$A$300,0)),"※미등록"))</f>
        <v/>
      </c>
      <c r="E196" s="32"/>
      <c r="F196" s="33" t="str">
        <f>IF(E196="","",IFERROR(INDEX(담당자마스터!$B$2:$B$300,MATCH(E196,담당자마스터!$A$2:$A$300,0)),"※미등록"))</f>
        <v/>
      </c>
      <c r="G196" s="31"/>
      <c r="H196" s="32"/>
      <c r="I196" s="32"/>
      <c r="J196" s="32"/>
      <c r="K196" s="32"/>
      <c r="L196" s="32"/>
      <c r="M196" s="32"/>
    </row>
    <row r="197" spans="1:13" ht="15" customHeight="1">
      <c r="A197" s="30"/>
      <c r="B197" s="33" t="str">
        <f>IF(A197="","",IFERROR(INDEX(품목마스터!$B$2:$B$300,MATCH(A197,품목마스터!$A$2:$A$300,0)),"※미등록"))</f>
        <v/>
      </c>
      <c r="C197" s="30"/>
      <c r="D197" s="33" t="str">
        <f>IF(C197="","",IFERROR(INDEX(협력사마스터!$B$2:$B$300,MATCH(C197,협력사마스터!$A$2:$A$300,0)),"※미등록"))</f>
        <v/>
      </c>
      <c r="E197" s="32"/>
      <c r="F197" s="33" t="str">
        <f>IF(E197="","",IFERROR(INDEX(담당자마스터!$B$2:$B$300,MATCH(E197,담당자마스터!$A$2:$A$300,0)),"※미등록"))</f>
        <v/>
      </c>
      <c r="G197" s="31"/>
      <c r="H197" s="32"/>
      <c r="I197" s="32"/>
      <c r="J197" s="32"/>
      <c r="K197" s="32"/>
      <c r="L197" s="32"/>
      <c r="M197" s="32"/>
    </row>
    <row r="198" spans="1:13" ht="15" customHeight="1">
      <c r="A198" s="30"/>
      <c r="B198" s="33" t="str">
        <f>IF(A198="","",IFERROR(INDEX(품목마스터!$B$2:$B$300,MATCH(A198,품목마스터!$A$2:$A$300,0)),"※미등록"))</f>
        <v/>
      </c>
      <c r="C198" s="30"/>
      <c r="D198" s="33" t="str">
        <f>IF(C198="","",IFERROR(INDEX(협력사마스터!$B$2:$B$300,MATCH(C198,협력사마스터!$A$2:$A$300,0)),"※미등록"))</f>
        <v/>
      </c>
      <c r="E198" s="32"/>
      <c r="F198" s="33" t="str">
        <f>IF(E198="","",IFERROR(INDEX(담당자마스터!$B$2:$B$300,MATCH(E198,담당자마스터!$A$2:$A$300,0)),"※미등록"))</f>
        <v/>
      </c>
      <c r="G198" s="31"/>
      <c r="H198" s="32"/>
      <c r="I198" s="32"/>
      <c r="J198" s="32"/>
      <c r="K198" s="32"/>
      <c r="L198" s="32"/>
      <c r="M198" s="32"/>
    </row>
    <row r="199" spans="1:13" ht="15" customHeight="1">
      <c r="A199" s="30"/>
      <c r="B199" s="33" t="str">
        <f>IF(A199="","",IFERROR(INDEX(품목마스터!$B$2:$B$300,MATCH(A199,품목마스터!$A$2:$A$300,0)),"※미등록"))</f>
        <v/>
      </c>
      <c r="C199" s="30"/>
      <c r="D199" s="33" t="str">
        <f>IF(C199="","",IFERROR(INDEX(협력사마스터!$B$2:$B$300,MATCH(C199,협력사마스터!$A$2:$A$300,0)),"※미등록"))</f>
        <v/>
      </c>
      <c r="E199" s="32"/>
      <c r="F199" s="33" t="str">
        <f>IF(E199="","",IFERROR(INDEX(담당자마스터!$B$2:$B$300,MATCH(E199,담당자마스터!$A$2:$A$300,0)),"※미등록"))</f>
        <v/>
      </c>
      <c r="G199" s="31"/>
      <c r="H199" s="32"/>
      <c r="I199" s="32"/>
      <c r="J199" s="32"/>
      <c r="K199" s="32"/>
      <c r="L199" s="32"/>
      <c r="M199" s="32"/>
    </row>
    <row r="200" spans="1:13" ht="15" customHeight="1">
      <c r="A200" s="30"/>
      <c r="B200" s="33" t="str">
        <f>IF(A200="","",IFERROR(INDEX(품목마스터!$B$2:$B$300,MATCH(A200,품목마스터!$A$2:$A$300,0)),"※미등록"))</f>
        <v/>
      </c>
      <c r="C200" s="30"/>
      <c r="D200" s="33" t="str">
        <f>IF(C200="","",IFERROR(INDEX(협력사마스터!$B$2:$B$300,MATCH(C200,협력사마스터!$A$2:$A$300,0)),"※미등록"))</f>
        <v/>
      </c>
      <c r="E200" s="32"/>
      <c r="F200" s="33" t="str">
        <f>IF(E200="","",IFERROR(INDEX(담당자마스터!$B$2:$B$300,MATCH(E200,담당자마스터!$A$2:$A$300,0)),"※미등록"))</f>
        <v/>
      </c>
      <c r="G200" s="31"/>
      <c r="H200" s="32"/>
      <c r="I200" s="32"/>
      <c r="J200" s="32"/>
      <c r="K200" s="32"/>
      <c r="L200" s="32"/>
      <c r="M200" s="32"/>
    </row>
    <row r="201" spans="1:13" ht="15" customHeight="1">
      <c r="A201" s="30"/>
      <c r="B201" s="33" t="str">
        <f>IF(A201="","",IFERROR(INDEX(품목마스터!$B$2:$B$300,MATCH(A201,품목마스터!$A$2:$A$300,0)),"※미등록"))</f>
        <v/>
      </c>
      <c r="C201" s="30"/>
      <c r="D201" s="33" t="str">
        <f>IF(C201="","",IFERROR(INDEX(협력사마스터!$B$2:$B$300,MATCH(C201,협력사마스터!$A$2:$A$300,0)),"※미등록"))</f>
        <v/>
      </c>
      <c r="E201" s="32"/>
      <c r="F201" s="33" t="str">
        <f>IF(E201="","",IFERROR(INDEX(담당자마스터!$B$2:$B$300,MATCH(E201,담당자마스터!$A$2:$A$300,0)),"※미등록"))</f>
        <v/>
      </c>
      <c r="G201" s="31"/>
      <c r="H201" s="32"/>
      <c r="I201" s="32"/>
      <c r="J201" s="32"/>
      <c r="K201" s="32"/>
      <c r="L201" s="32"/>
      <c r="M201" s="32"/>
    </row>
    <row r="202" spans="1:13" ht="15" customHeight="1">
      <c r="A202" s="30"/>
      <c r="B202" s="33" t="str">
        <f>IF(A202="","",IFERROR(INDEX(품목마스터!$B$2:$B$300,MATCH(A202,품목마스터!$A$2:$A$300,0)),"※미등록"))</f>
        <v/>
      </c>
      <c r="C202" s="30"/>
      <c r="D202" s="33" t="str">
        <f>IF(C202="","",IFERROR(INDEX(협력사마스터!$B$2:$B$300,MATCH(C202,협력사마스터!$A$2:$A$300,0)),"※미등록"))</f>
        <v/>
      </c>
      <c r="E202" s="32"/>
      <c r="F202" s="33" t="str">
        <f>IF(E202="","",IFERROR(INDEX(담당자마스터!$B$2:$B$300,MATCH(E202,담당자마스터!$A$2:$A$300,0)),"※미등록"))</f>
        <v/>
      </c>
      <c r="G202" s="31"/>
      <c r="H202" s="32"/>
      <c r="I202" s="32"/>
      <c r="J202" s="32"/>
      <c r="K202" s="32"/>
      <c r="L202" s="32"/>
      <c r="M202" s="32"/>
    </row>
    <row r="203" spans="1:13" ht="15" customHeight="1">
      <c r="A203" s="30"/>
      <c r="B203" s="33" t="str">
        <f>IF(A203="","",IFERROR(INDEX(품목마스터!$B$2:$B$300,MATCH(A203,품목마스터!$A$2:$A$300,0)),"※미등록"))</f>
        <v/>
      </c>
      <c r="C203" s="30"/>
      <c r="D203" s="33" t="str">
        <f>IF(C203="","",IFERROR(INDEX(협력사마스터!$B$2:$B$300,MATCH(C203,협력사마스터!$A$2:$A$300,0)),"※미등록"))</f>
        <v/>
      </c>
      <c r="E203" s="32"/>
      <c r="F203" s="33" t="str">
        <f>IF(E203="","",IFERROR(INDEX(담당자마스터!$B$2:$B$300,MATCH(E203,담당자마스터!$A$2:$A$300,0)),"※미등록"))</f>
        <v/>
      </c>
      <c r="G203" s="31"/>
      <c r="H203" s="32"/>
      <c r="I203" s="32"/>
      <c r="J203" s="32"/>
      <c r="K203" s="32"/>
      <c r="L203" s="32"/>
      <c r="M203" s="32"/>
    </row>
    <row r="204" spans="1:13" ht="15" customHeight="1">
      <c r="A204" s="30"/>
      <c r="B204" s="33" t="str">
        <f>IF(A204="","",IFERROR(INDEX(품목마스터!$B$2:$B$300,MATCH(A204,품목마스터!$A$2:$A$300,0)),"※미등록"))</f>
        <v/>
      </c>
      <c r="C204" s="30"/>
      <c r="D204" s="33" t="str">
        <f>IF(C204="","",IFERROR(INDEX(협력사마스터!$B$2:$B$300,MATCH(C204,협력사마스터!$A$2:$A$300,0)),"※미등록"))</f>
        <v/>
      </c>
      <c r="E204" s="32"/>
      <c r="F204" s="33" t="str">
        <f>IF(E204="","",IFERROR(INDEX(담당자마스터!$B$2:$B$300,MATCH(E204,담당자마스터!$A$2:$A$300,0)),"※미등록"))</f>
        <v/>
      </c>
      <c r="G204" s="31"/>
      <c r="H204" s="32"/>
      <c r="I204" s="32"/>
      <c r="J204" s="32"/>
      <c r="K204" s="32"/>
      <c r="L204" s="32"/>
      <c r="M204" s="32"/>
    </row>
    <row r="205" spans="1:13" ht="15" customHeight="1">
      <c r="A205" s="30"/>
      <c r="B205" s="33" t="str">
        <f>IF(A205="","",IFERROR(INDEX(품목마스터!$B$2:$B$300,MATCH(A205,품목마스터!$A$2:$A$300,0)),"※미등록"))</f>
        <v/>
      </c>
      <c r="C205" s="30"/>
      <c r="D205" s="33" t="str">
        <f>IF(C205="","",IFERROR(INDEX(협력사마스터!$B$2:$B$300,MATCH(C205,협력사마스터!$A$2:$A$300,0)),"※미등록"))</f>
        <v/>
      </c>
      <c r="E205" s="32"/>
      <c r="F205" s="33" t="str">
        <f>IF(E205="","",IFERROR(INDEX(담당자마스터!$B$2:$B$300,MATCH(E205,담당자마스터!$A$2:$A$300,0)),"※미등록"))</f>
        <v/>
      </c>
      <c r="G205" s="31"/>
      <c r="H205" s="32"/>
      <c r="I205" s="32"/>
      <c r="J205" s="32"/>
      <c r="K205" s="32"/>
      <c r="L205" s="32"/>
      <c r="M205" s="32"/>
    </row>
    <row r="206" spans="1:13" ht="15" customHeight="1">
      <c r="A206" s="30"/>
      <c r="B206" s="33" t="str">
        <f>IF(A206="","",IFERROR(INDEX(품목마스터!$B$2:$B$300,MATCH(A206,품목마스터!$A$2:$A$300,0)),"※미등록"))</f>
        <v/>
      </c>
      <c r="C206" s="30"/>
      <c r="D206" s="33" t="str">
        <f>IF(C206="","",IFERROR(INDEX(협력사마스터!$B$2:$B$300,MATCH(C206,협력사마스터!$A$2:$A$300,0)),"※미등록"))</f>
        <v/>
      </c>
      <c r="E206" s="32"/>
      <c r="F206" s="33" t="str">
        <f>IF(E206="","",IFERROR(INDEX(담당자마스터!$B$2:$B$300,MATCH(E206,담당자마스터!$A$2:$A$300,0)),"※미등록"))</f>
        <v/>
      </c>
      <c r="G206" s="31"/>
      <c r="H206" s="32"/>
      <c r="I206" s="32"/>
      <c r="J206" s="32"/>
      <c r="K206" s="32"/>
      <c r="L206" s="32"/>
      <c r="M206" s="32"/>
    </row>
    <row r="207" spans="1:13" ht="15" customHeight="1">
      <c r="A207" s="30"/>
      <c r="B207" s="33" t="str">
        <f>IF(A207="","",IFERROR(INDEX(품목마스터!$B$2:$B$300,MATCH(A207,품목마스터!$A$2:$A$300,0)),"※미등록"))</f>
        <v/>
      </c>
      <c r="C207" s="30"/>
      <c r="D207" s="33" t="str">
        <f>IF(C207="","",IFERROR(INDEX(협력사마스터!$B$2:$B$300,MATCH(C207,협력사마스터!$A$2:$A$300,0)),"※미등록"))</f>
        <v/>
      </c>
      <c r="E207" s="32"/>
      <c r="F207" s="33" t="str">
        <f>IF(E207="","",IFERROR(INDEX(담당자마스터!$B$2:$B$300,MATCH(E207,담당자마스터!$A$2:$A$300,0)),"※미등록"))</f>
        <v/>
      </c>
      <c r="G207" s="31"/>
      <c r="H207" s="32"/>
      <c r="I207" s="32"/>
      <c r="J207" s="32"/>
      <c r="K207" s="32"/>
      <c r="L207" s="32"/>
      <c r="M207" s="32"/>
    </row>
    <row r="208" spans="1:13" ht="15" customHeight="1">
      <c r="A208" s="30"/>
      <c r="B208" s="33" t="str">
        <f>IF(A208="","",IFERROR(INDEX(품목마스터!$B$2:$B$300,MATCH(A208,품목마스터!$A$2:$A$300,0)),"※미등록"))</f>
        <v/>
      </c>
      <c r="C208" s="30"/>
      <c r="D208" s="33" t="str">
        <f>IF(C208="","",IFERROR(INDEX(협력사마스터!$B$2:$B$300,MATCH(C208,협력사마스터!$A$2:$A$300,0)),"※미등록"))</f>
        <v/>
      </c>
      <c r="E208" s="32"/>
      <c r="F208" s="33" t="str">
        <f>IF(E208="","",IFERROR(INDEX(담당자마스터!$B$2:$B$300,MATCH(E208,담당자마스터!$A$2:$A$300,0)),"※미등록"))</f>
        <v/>
      </c>
      <c r="G208" s="31"/>
      <c r="H208" s="32"/>
      <c r="I208" s="32"/>
      <c r="J208" s="32"/>
      <c r="K208" s="32"/>
      <c r="L208" s="32"/>
      <c r="M208" s="32"/>
    </row>
    <row r="209" spans="1:13" ht="15" customHeight="1">
      <c r="A209" s="30"/>
      <c r="B209" s="33" t="str">
        <f>IF(A209="","",IFERROR(INDEX(품목마스터!$B$2:$B$300,MATCH(A209,품목마스터!$A$2:$A$300,0)),"※미등록"))</f>
        <v/>
      </c>
      <c r="C209" s="30"/>
      <c r="D209" s="33" t="str">
        <f>IF(C209="","",IFERROR(INDEX(협력사마스터!$B$2:$B$300,MATCH(C209,협력사마스터!$A$2:$A$300,0)),"※미등록"))</f>
        <v/>
      </c>
      <c r="E209" s="32"/>
      <c r="F209" s="33" t="str">
        <f>IF(E209="","",IFERROR(INDEX(담당자마스터!$B$2:$B$300,MATCH(E209,담당자마스터!$A$2:$A$300,0)),"※미등록"))</f>
        <v/>
      </c>
      <c r="G209" s="31"/>
      <c r="H209" s="32"/>
      <c r="I209" s="32"/>
      <c r="J209" s="32"/>
      <c r="K209" s="32"/>
      <c r="L209" s="32"/>
      <c r="M209" s="32"/>
    </row>
    <row r="210" spans="1:13" ht="15" customHeight="1">
      <c r="A210" s="30"/>
      <c r="B210" s="33" t="str">
        <f>IF(A210="","",IFERROR(INDEX(품목마스터!$B$2:$B$300,MATCH(A210,품목마스터!$A$2:$A$300,0)),"※미등록"))</f>
        <v/>
      </c>
      <c r="C210" s="30"/>
      <c r="D210" s="33" t="str">
        <f>IF(C210="","",IFERROR(INDEX(협력사마스터!$B$2:$B$300,MATCH(C210,협력사마스터!$A$2:$A$300,0)),"※미등록"))</f>
        <v/>
      </c>
      <c r="E210" s="32"/>
      <c r="F210" s="33" t="str">
        <f>IF(E210="","",IFERROR(INDEX(담당자마스터!$B$2:$B$300,MATCH(E210,담당자마스터!$A$2:$A$300,0)),"※미등록"))</f>
        <v/>
      </c>
      <c r="G210" s="31"/>
      <c r="H210" s="32"/>
      <c r="I210" s="32"/>
      <c r="J210" s="32"/>
      <c r="K210" s="32"/>
      <c r="L210" s="32"/>
      <c r="M210" s="32"/>
    </row>
    <row r="211" spans="1:13" ht="15" customHeight="1">
      <c r="A211" s="30"/>
      <c r="B211" s="33" t="str">
        <f>IF(A211="","",IFERROR(INDEX(품목마스터!$B$2:$B$300,MATCH(A211,품목마스터!$A$2:$A$300,0)),"※미등록"))</f>
        <v/>
      </c>
      <c r="C211" s="30"/>
      <c r="D211" s="33" t="str">
        <f>IF(C211="","",IFERROR(INDEX(협력사마스터!$B$2:$B$300,MATCH(C211,협력사마스터!$A$2:$A$300,0)),"※미등록"))</f>
        <v/>
      </c>
      <c r="E211" s="32"/>
      <c r="F211" s="33" t="str">
        <f>IF(E211="","",IFERROR(INDEX(담당자마스터!$B$2:$B$300,MATCH(E211,담당자마스터!$A$2:$A$300,0)),"※미등록"))</f>
        <v/>
      </c>
      <c r="G211" s="31"/>
      <c r="H211" s="32"/>
      <c r="I211" s="32"/>
      <c r="J211" s="32"/>
      <c r="K211" s="32"/>
      <c r="L211" s="32"/>
      <c r="M211" s="32"/>
    </row>
    <row r="212" spans="1:13" ht="15" customHeight="1">
      <c r="A212" s="30"/>
      <c r="B212" s="33" t="str">
        <f>IF(A212="","",IFERROR(INDEX(품목마스터!$B$2:$B$300,MATCH(A212,품목마스터!$A$2:$A$300,0)),"※미등록"))</f>
        <v/>
      </c>
      <c r="C212" s="30"/>
      <c r="D212" s="33" t="str">
        <f>IF(C212="","",IFERROR(INDEX(협력사마스터!$B$2:$B$300,MATCH(C212,협력사마스터!$A$2:$A$300,0)),"※미등록"))</f>
        <v/>
      </c>
      <c r="E212" s="32"/>
      <c r="F212" s="33" t="str">
        <f>IF(E212="","",IFERROR(INDEX(담당자마스터!$B$2:$B$300,MATCH(E212,담당자마스터!$A$2:$A$300,0)),"※미등록"))</f>
        <v/>
      </c>
      <c r="G212" s="31"/>
      <c r="H212" s="32"/>
      <c r="I212" s="32"/>
      <c r="J212" s="32"/>
      <c r="K212" s="32"/>
      <c r="L212" s="32"/>
      <c r="M212" s="32"/>
    </row>
    <row r="213" spans="1:13" ht="15" customHeight="1">
      <c r="A213" s="30"/>
      <c r="B213" s="33" t="str">
        <f>IF(A213="","",IFERROR(INDEX(품목마스터!$B$2:$B$300,MATCH(A213,품목마스터!$A$2:$A$300,0)),"※미등록"))</f>
        <v/>
      </c>
      <c r="C213" s="30"/>
      <c r="D213" s="33" t="str">
        <f>IF(C213="","",IFERROR(INDEX(협력사마스터!$B$2:$B$300,MATCH(C213,협력사마스터!$A$2:$A$300,0)),"※미등록"))</f>
        <v/>
      </c>
      <c r="E213" s="32"/>
      <c r="F213" s="33" t="str">
        <f>IF(E213="","",IFERROR(INDEX(담당자마스터!$B$2:$B$300,MATCH(E213,담당자마스터!$A$2:$A$300,0)),"※미등록"))</f>
        <v/>
      </c>
      <c r="G213" s="31"/>
      <c r="H213" s="32"/>
      <c r="I213" s="32"/>
      <c r="J213" s="32"/>
      <c r="K213" s="32"/>
      <c r="L213" s="32"/>
      <c r="M213" s="32"/>
    </row>
    <row r="214" spans="1:13" ht="15" customHeight="1">
      <c r="A214" s="30"/>
      <c r="B214" s="33" t="str">
        <f>IF(A214="","",IFERROR(INDEX(품목마스터!$B$2:$B$300,MATCH(A214,품목마스터!$A$2:$A$300,0)),"※미등록"))</f>
        <v/>
      </c>
      <c r="C214" s="30"/>
      <c r="D214" s="33" t="str">
        <f>IF(C214="","",IFERROR(INDEX(협력사마스터!$B$2:$B$300,MATCH(C214,협력사마스터!$A$2:$A$300,0)),"※미등록"))</f>
        <v/>
      </c>
      <c r="E214" s="32"/>
      <c r="F214" s="33" t="str">
        <f>IF(E214="","",IFERROR(INDEX(담당자마스터!$B$2:$B$300,MATCH(E214,담당자마스터!$A$2:$A$300,0)),"※미등록"))</f>
        <v/>
      </c>
      <c r="G214" s="31"/>
      <c r="H214" s="32"/>
      <c r="I214" s="32"/>
      <c r="J214" s="32"/>
      <c r="K214" s="32"/>
      <c r="L214" s="32"/>
      <c r="M214" s="32"/>
    </row>
    <row r="215" spans="1:13" ht="15" customHeight="1">
      <c r="A215" s="30"/>
      <c r="B215" s="33" t="str">
        <f>IF(A215="","",IFERROR(INDEX(품목마스터!$B$2:$B$300,MATCH(A215,품목마스터!$A$2:$A$300,0)),"※미등록"))</f>
        <v/>
      </c>
      <c r="C215" s="30"/>
      <c r="D215" s="33" t="str">
        <f>IF(C215="","",IFERROR(INDEX(협력사마스터!$B$2:$B$300,MATCH(C215,협력사마스터!$A$2:$A$300,0)),"※미등록"))</f>
        <v/>
      </c>
      <c r="E215" s="32"/>
      <c r="F215" s="33" t="str">
        <f>IF(E215="","",IFERROR(INDEX(담당자마스터!$B$2:$B$300,MATCH(E215,담당자마스터!$A$2:$A$300,0)),"※미등록"))</f>
        <v/>
      </c>
      <c r="G215" s="31"/>
      <c r="H215" s="32"/>
      <c r="I215" s="32"/>
      <c r="J215" s="32"/>
      <c r="K215" s="32"/>
      <c r="L215" s="32"/>
      <c r="M215" s="32"/>
    </row>
    <row r="216" spans="1:13" ht="15" customHeight="1">
      <c r="A216" s="30"/>
      <c r="B216" s="33" t="str">
        <f>IF(A216="","",IFERROR(INDEX(품목마스터!$B$2:$B$300,MATCH(A216,품목마스터!$A$2:$A$300,0)),"※미등록"))</f>
        <v/>
      </c>
      <c r="C216" s="30"/>
      <c r="D216" s="33" t="str">
        <f>IF(C216="","",IFERROR(INDEX(협력사마스터!$B$2:$B$300,MATCH(C216,협력사마스터!$A$2:$A$300,0)),"※미등록"))</f>
        <v/>
      </c>
      <c r="E216" s="32"/>
      <c r="F216" s="33" t="str">
        <f>IF(E216="","",IFERROR(INDEX(담당자마스터!$B$2:$B$300,MATCH(E216,담당자마스터!$A$2:$A$300,0)),"※미등록"))</f>
        <v/>
      </c>
      <c r="G216" s="31"/>
      <c r="H216" s="32"/>
      <c r="I216" s="32"/>
      <c r="J216" s="32"/>
      <c r="K216" s="32"/>
      <c r="L216" s="32"/>
      <c r="M216" s="32"/>
    </row>
    <row r="217" spans="1:13" ht="15" customHeight="1">
      <c r="A217" s="30"/>
      <c r="B217" s="33" t="str">
        <f>IF(A217="","",IFERROR(INDEX(품목마스터!$B$2:$B$300,MATCH(A217,품목마스터!$A$2:$A$300,0)),"※미등록"))</f>
        <v/>
      </c>
      <c r="C217" s="30"/>
      <c r="D217" s="33" t="str">
        <f>IF(C217="","",IFERROR(INDEX(협력사마스터!$B$2:$B$300,MATCH(C217,협력사마스터!$A$2:$A$300,0)),"※미등록"))</f>
        <v/>
      </c>
      <c r="E217" s="32"/>
      <c r="F217" s="33" t="str">
        <f>IF(E217="","",IFERROR(INDEX(담당자마스터!$B$2:$B$300,MATCH(E217,담당자마스터!$A$2:$A$300,0)),"※미등록"))</f>
        <v/>
      </c>
      <c r="G217" s="31"/>
      <c r="H217" s="32"/>
      <c r="I217" s="32"/>
      <c r="J217" s="32"/>
      <c r="K217" s="32"/>
      <c r="L217" s="32"/>
      <c r="M217" s="32"/>
    </row>
    <row r="218" spans="1:13" ht="15" customHeight="1">
      <c r="A218" s="30"/>
      <c r="B218" s="33" t="str">
        <f>IF(A218="","",IFERROR(INDEX(품목마스터!$B$2:$B$300,MATCH(A218,품목마스터!$A$2:$A$300,0)),"※미등록"))</f>
        <v/>
      </c>
      <c r="C218" s="30"/>
      <c r="D218" s="33" t="str">
        <f>IF(C218="","",IFERROR(INDEX(협력사마스터!$B$2:$B$300,MATCH(C218,협력사마스터!$A$2:$A$300,0)),"※미등록"))</f>
        <v/>
      </c>
      <c r="E218" s="32"/>
      <c r="F218" s="33" t="str">
        <f>IF(E218="","",IFERROR(INDEX(담당자마스터!$B$2:$B$300,MATCH(E218,담당자마스터!$A$2:$A$300,0)),"※미등록"))</f>
        <v/>
      </c>
      <c r="G218" s="31"/>
      <c r="H218" s="32"/>
      <c r="I218" s="32"/>
      <c r="J218" s="32"/>
      <c r="K218" s="32"/>
      <c r="L218" s="32"/>
      <c r="M218" s="32"/>
    </row>
    <row r="219" spans="1:13" ht="15" customHeight="1">
      <c r="A219" s="30"/>
      <c r="B219" s="33" t="str">
        <f>IF(A219="","",IFERROR(INDEX(품목마스터!$B$2:$B$300,MATCH(A219,품목마스터!$A$2:$A$300,0)),"※미등록"))</f>
        <v/>
      </c>
      <c r="C219" s="30"/>
      <c r="D219" s="33" t="str">
        <f>IF(C219="","",IFERROR(INDEX(협력사마스터!$B$2:$B$300,MATCH(C219,협력사마스터!$A$2:$A$300,0)),"※미등록"))</f>
        <v/>
      </c>
      <c r="E219" s="32"/>
      <c r="F219" s="33" t="str">
        <f>IF(E219="","",IFERROR(INDEX(담당자마스터!$B$2:$B$300,MATCH(E219,담당자마스터!$A$2:$A$300,0)),"※미등록"))</f>
        <v/>
      </c>
      <c r="G219" s="31"/>
      <c r="H219" s="32"/>
      <c r="I219" s="32"/>
      <c r="J219" s="32"/>
      <c r="K219" s="32"/>
      <c r="L219" s="32"/>
      <c r="M219" s="32"/>
    </row>
    <row r="220" spans="1:13" ht="15" customHeight="1">
      <c r="A220" s="30"/>
      <c r="B220" s="33" t="str">
        <f>IF(A220="","",IFERROR(INDEX(품목마스터!$B$2:$B$300,MATCH(A220,품목마스터!$A$2:$A$300,0)),"※미등록"))</f>
        <v/>
      </c>
      <c r="C220" s="30"/>
      <c r="D220" s="33" t="str">
        <f>IF(C220="","",IFERROR(INDEX(협력사마스터!$B$2:$B$300,MATCH(C220,협력사마스터!$A$2:$A$300,0)),"※미등록"))</f>
        <v/>
      </c>
      <c r="E220" s="32"/>
      <c r="F220" s="33" t="str">
        <f>IF(E220="","",IFERROR(INDEX(담당자마스터!$B$2:$B$300,MATCH(E220,담당자마스터!$A$2:$A$300,0)),"※미등록"))</f>
        <v/>
      </c>
      <c r="G220" s="31"/>
      <c r="H220" s="32"/>
      <c r="I220" s="32"/>
      <c r="J220" s="32"/>
      <c r="K220" s="32"/>
      <c r="L220" s="32"/>
      <c r="M220" s="32"/>
    </row>
    <row r="221" spans="1:13" ht="15" customHeight="1">
      <c r="A221" s="30"/>
      <c r="B221" s="33" t="str">
        <f>IF(A221="","",IFERROR(INDEX(품목마스터!$B$2:$B$300,MATCH(A221,품목마스터!$A$2:$A$300,0)),"※미등록"))</f>
        <v/>
      </c>
      <c r="C221" s="30"/>
      <c r="D221" s="33" t="str">
        <f>IF(C221="","",IFERROR(INDEX(협력사마스터!$B$2:$B$300,MATCH(C221,협력사마스터!$A$2:$A$300,0)),"※미등록"))</f>
        <v/>
      </c>
      <c r="E221" s="32"/>
      <c r="F221" s="33" t="str">
        <f>IF(E221="","",IFERROR(INDEX(담당자마스터!$B$2:$B$300,MATCH(E221,담당자마스터!$A$2:$A$300,0)),"※미등록"))</f>
        <v/>
      </c>
      <c r="G221" s="31"/>
      <c r="H221" s="32"/>
      <c r="I221" s="32"/>
      <c r="J221" s="32"/>
      <c r="K221" s="32"/>
      <c r="L221" s="32"/>
      <c r="M221" s="32"/>
    </row>
    <row r="222" spans="1:13" ht="15" customHeight="1">
      <c r="A222" s="30"/>
      <c r="B222" s="33" t="str">
        <f>IF(A222="","",IFERROR(INDEX(품목마스터!$B$2:$B$300,MATCH(A222,품목마스터!$A$2:$A$300,0)),"※미등록"))</f>
        <v/>
      </c>
      <c r="C222" s="30"/>
      <c r="D222" s="33" t="str">
        <f>IF(C222="","",IFERROR(INDEX(협력사마스터!$B$2:$B$300,MATCH(C222,협력사마스터!$A$2:$A$300,0)),"※미등록"))</f>
        <v/>
      </c>
      <c r="E222" s="32"/>
      <c r="F222" s="33" t="str">
        <f>IF(E222="","",IFERROR(INDEX(담당자마스터!$B$2:$B$300,MATCH(E222,담당자마스터!$A$2:$A$300,0)),"※미등록"))</f>
        <v/>
      </c>
      <c r="G222" s="31"/>
      <c r="H222" s="32"/>
      <c r="I222" s="32"/>
      <c r="J222" s="32"/>
      <c r="K222" s="32"/>
      <c r="L222" s="32"/>
      <c r="M222" s="32"/>
    </row>
    <row r="223" spans="1:13" ht="15" customHeight="1">
      <c r="A223" s="30"/>
      <c r="B223" s="33" t="str">
        <f>IF(A223="","",IFERROR(INDEX(품목마스터!$B$2:$B$300,MATCH(A223,품목마스터!$A$2:$A$300,0)),"※미등록"))</f>
        <v/>
      </c>
      <c r="C223" s="30"/>
      <c r="D223" s="33" t="str">
        <f>IF(C223="","",IFERROR(INDEX(협력사마스터!$B$2:$B$300,MATCH(C223,협력사마스터!$A$2:$A$300,0)),"※미등록"))</f>
        <v/>
      </c>
      <c r="E223" s="32"/>
      <c r="F223" s="33" t="str">
        <f>IF(E223="","",IFERROR(INDEX(담당자마스터!$B$2:$B$300,MATCH(E223,담당자마스터!$A$2:$A$300,0)),"※미등록"))</f>
        <v/>
      </c>
      <c r="G223" s="31"/>
      <c r="H223" s="32"/>
      <c r="I223" s="32"/>
      <c r="J223" s="32"/>
      <c r="K223" s="32"/>
      <c r="L223" s="32"/>
      <c r="M223" s="32"/>
    </row>
    <row r="224" spans="1:13" ht="15" customHeight="1">
      <c r="A224" s="30"/>
      <c r="B224" s="33" t="str">
        <f>IF(A224="","",IFERROR(INDEX(품목마스터!$B$2:$B$300,MATCH(A224,품목마스터!$A$2:$A$300,0)),"※미등록"))</f>
        <v/>
      </c>
      <c r="C224" s="30"/>
      <c r="D224" s="33" t="str">
        <f>IF(C224="","",IFERROR(INDEX(협력사마스터!$B$2:$B$300,MATCH(C224,협력사마스터!$A$2:$A$300,0)),"※미등록"))</f>
        <v/>
      </c>
      <c r="E224" s="32"/>
      <c r="F224" s="33" t="str">
        <f>IF(E224="","",IFERROR(INDEX(담당자마스터!$B$2:$B$300,MATCH(E224,담당자마스터!$A$2:$A$300,0)),"※미등록"))</f>
        <v/>
      </c>
      <c r="G224" s="31"/>
      <c r="H224" s="32"/>
      <c r="I224" s="32"/>
      <c r="J224" s="32"/>
      <c r="K224" s="32"/>
      <c r="L224" s="32"/>
      <c r="M224" s="32"/>
    </row>
    <row r="225" spans="1:13" ht="15" customHeight="1">
      <c r="A225" s="30"/>
      <c r="B225" s="33" t="str">
        <f>IF(A225="","",IFERROR(INDEX(품목마스터!$B$2:$B$300,MATCH(A225,품목마스터!$A$2:$A$300,0)),"※미등록"))</f>
        <v/>
      </c>
      <c r="C225" s="30"/>
      <c r="D225" s="33" t="str">
        <f>IF(C225="","",IFERROR(INDEX(협력사마스터!$B$2:$B$300,MATCH(C225,협력사마스터!$A$2:$A$300,0)),"※미등록"))</f>
        <v/>
      </c>
      <c r="E225" s="32"/>
      <c r="F225" s="33" t="str">
        <f>IF(E225="","",IFERROR(INDEX(담당자마스터!$B$2:$B$300,MATCH(E225,담당자마스터!$A$2:$A$300,0)),"※미등록"))</f>
        <v/>
      </c>
      <c r="G225" s="31"/>
      <c r="H225" s="32"/>
      <c r="I225" s="32"/>
      <c r="J225" s="32"/>
      <c r="K225" s="32"/>
      <c r="L225" s="32"/>
      <c r="M225" s="32"/>
    </row>
    <row r="226" spans="1:13" ht="15" customHeight="1">
      <c r="A226" s="30"/>
      <c r="B226" s="33" t="str">
        <f>IF(A226="","",IFERROR(INDEX(품목마스터!$B$2:$B$300,MATCH(A226,품목마스터!$A$2:$A$300,0)),"※미등록"))</f>
        <v/>
      </c>
      <c r="C226" s="30"/>
      <c r="D226" s="33" t="str">
        <f>IF(C226="","",IFERROR(INDEX(협력사마스터!$B$2:$B$300,MATCH(C226,협력사마스터!$A$2:$A$300,0)),"※미등록"))</f>
        <v/>
      </c>
      <c r="E226" s="32"/>
      <c r="F226" s="33" t="str">
        <f>IF(E226="","",IFERROR(INDEX(담당자마스터!$B$2:$B$300,MATCH(E226,담당자마스터!$A$2:$A$300,0)),"※미등록"))</f>
        <v/>
      </c>
      <c r="G226" s="31"/>
      <c r="H226" s="32"/>
      <c r="I226" s="32"/>
      <c r="J226" s="32"/>
      <c r="K226" s="32"/>
      <c r="L226" s="32"/>
      <c r="M226" s="32"/>
    </row>
    <row r="227" spans="1:13" ht="15" customHeight="1">
      <c r="A227" s="30"/>
      <c r="B227" s="33" t="str">
        <f>IF(A227="","",IFERROR(INDEX(품목마스터!$B$2:$B$300,MATCH(A227,품목마스터!$A$2:$A$300,0)),"※미등록"))</f>
        <v/>
      </c>
      <c r="C227" s="30"/>
      <c r="D227" s="33" t="str">
        <f>IF(C227="","",IFERROR(INDEX(협력사마스터!$B$2:$B$300,MATCH(C227,협력사마스터!$A$2:$A$300,0)),"※미등록"))</f>
        <v/>
      </c>
      <c r="E227" s="32"/>
      <c r="F227" s="33" t="str">
        <f>IF(E227="","",IFERROR(INDEX(담당자마스터!$B$2:$B$300,MATCH(E227,담당자마스터!$A$2:$A$300,0)),"※미등록"))</f>
        <v/>
      </c>
      <c r="G227" s="31"/>
      <c r="H227" s="32"/>
      <c r="I227" s="32"/>
      <c r="J227" s="32"/>
      <c r="K227" s="32"/>
      <c r="L227" s="32"/>
      <c r="M227" s="32"/>
    </row>
    <row r="228" spans="1:13" ht="15" customHeight="1">
      <c r="A228" s="30"/>
      <c r="B228" s="33" t="str">
        <f>IF(A228="","",IFERROR(INDEX(품목마스터!$B$2:$B$300,MATCH(A228,품목마스터!$A$2:$A$300,0)),"※미등록"))</f>
        <v/>
      </c>
      <c r="C228" s="30"/>
      <c r="D228" s="33" t="str">
        <f>IF(C228="","",IFERROR(INDEX(협력사마스터!$B$2:$B$300,MATCH(C228,협력사마스터!$A$2:$A$300,0)),"※미등록"))</f>
        <v/>
      </c>
      <c r="E228" s="32"/>
      <c r="F228" s="33" t="str">
        <f>IF(E228="","",IFERROR(INDEX(담당자마스터!$B$2:$B$300,MATCH(E228,담당자마스터!$A$2:$A$300,0)),"※미등록"))</f>
        <v/>
      </c>
      <c r="G228" s="31"/>
      <c r="H228" s="32"/>
      <c r="I228" s="32"/>
      <c r="J228" s="32"/>
      <c r="K228" s="32"/>
      <c r="L228" s="32"/>
      <c r="M228" s="32"/>
    </row>
    <row r="229" spans="1:13" ht="15" customHeight="1">
      <c r="A229" s="30"/>
      <c r="B229" s="33" t="str">
        <f>IF(A229="","",IFERROR(INDEX(품목마스터!$B$2:$B$300,MATCH(A229,품목마스터!$A$2:$A$300,0)),"※미등록"))</f>
        <v/>
      </c>
      <c r="C229" s="30"/>
      <c r="D229" s="33" t="str">
        <f>IF(C229="","",IFERROR(INDEX(협력사마스터!$B$2:$B$300,MATCH(C229,협력사마스터!$A$2:$A$300,0)),"※미등록"))</f>
        <v/>
      </c>
      <c r="E229" s="32"/>
      <c r="F229" s="33" t="str">
        <f>IF(E229="","",IFERROR(INDEX(담당자마스터!$B$2:$B$300,MATCH(E229,담당자마스터!$A$2:$A$300,0)),"※미등록"))</f>
        <v/>
      </c>
      <c r="G229" s="31"/>
      <c r="H229" s="32"/>
      <c r="I229" s="32"/>
      <c r="J229" s="32"/>
      <c r="K229" s="32"/>
      <c r="L229" s="32"/>
      <c r="M229" s="32"/>
    </row>
    <row r="230" spans="1:13" ht="15" customHeight="1">
      <c r="A230" s="30"/>
      <c r="B230" s="33" t="str">
        <f>IF(A230="","",IFERROR(INDEX(품목마스터!$B$2:$B$300,MATCH(A230,품목마스터!$A$2:$A$300,0)),"※미등록"))</f>
        <v/>
      </c>
      <c r="C230" s="30"/>
      <c r="D230" s="33" t="str">
        <f>IF(C230="","",IFERROR(INDEX(협력사마스터!$B$2:$B$300,MATCH(C230,협력사마스터!$A$2:$A$300,0)),"※미등록"))</f>
        <v/>
      </c>
      <c r="E230" s="32"/>
      <c r="F230" s="33" t="str">
        <f>IF(E230="","",IFERROR(INDEX(담당자마스터!$B$2:$B$300,MATCH(E230,담당자마스터!$A$2:$A$300,0)),"※미등록"))</f>
        <v/>
      </c>
      <c r="G230" s="31"/>
      <c r="H230" s="32"/>
      <c r="I230" s="32"/>
      <c r="J230" s="32"/>
      <c r="K230" s="32"/>
      <c r="L230" s="32"/>
      <c r="M230" s="32"/>
    </row>
    <row r="231" spans="1:13" ht="15" customHeight="1">
      <c r="A231" s="30"/>
      <c r="B231" s="33" t="str">
        <f>IF(A231="","",IFERROR(INDEX(품목마스터!$B$2:$B$300,MATCH(A231,품목마스터!$A$2:$A$300,0)),"※미등록"))</f>
        <v/>
      </c>
      <c r="C231" s="30"/>
      <c r="D231" s="33" t="str">
        <f>IF(C231="","",IFERROR(INDEX(협력사마스터!$B$2:$B$300,MATCH(C231,협력사마스터!$A$2:$A$300,0)),"※미등록"))</f>
        <v/>
      </c>
      <c r="E231" s="32"/>
      <c r="F231" s="33" t="str">
        <f>IF(E231="","",IFERROR(INDEX(담당자마스터!$B$2:$B$300,MATCH(E231,담당자마스터!$A$2:$A$300,0)),"※미등록"))</f>
        <v/>
      </c>
      <c r="G231" s="31"/>
      <c r="H231" s="32"/>
      <c r="I231" s="32"/>
      <c r="J231" s="32"/>
      <c r="K231" s="32"/>
      <c r="L231" s="32"/>
      <c r="M231" s="32"/>
    </row>
    <row r="232" spans="1:13" ht="15" customHeight="1">
      <c r="A232" s="30"/>
      <c r="B232" s="33" t="str">
        <f>IF(A232="","",IFERROR(INDEX(품목마스터!$B$2:$B$300,MATCH(A232,품목마스터!$A$2:$A$300,0)),"※미등록"))</f>
        <v/>
      </c>
      <c r="C232" s="30"/>
      <c r="D232" s="33" t="str">
        <f>IF(C232="","",IFERROR(INDEX(협력사마스터!$B$2:$B$300,MATCH(C232,협력사마스터!$A$2:$A$300,0)),"※미등록"))</f>
        <v/>
      </c>
      <c r="E232" s="32"/>
      <c r="F232" s="33" t="str">
        <f>IF(E232="","",IFERROR(INDEX(담당자마스터!$B$2:$B$300,MATCH(E232,담당자마스터!$A$2:$A$300,0)),"※미등록"))</f>
        <v/>
      </c>
      <c r="G232" s="31"/>
      <c r="H232" s="32"/>
      <c r="I232" s="32"/>
      <c r="J232" s="32"/>
      <c r="K232" s="32"/>
      <c r="L232" s="32"/>
      <c r="M232" s="32"/>
    </row>
    <row r="233" spans="1:13" ht="15" customHeight="1">
      <c r="A233" s="30"/>
      <c r="B233" s="33" t="str">
        <f>IF(A233="","",IFERROR(INDEX(품목마스터!$B$2:$B$300,MATCH(A233,품목마스터!$A$2:$A$300,0)),"※미등록"))</f>
        <v/>
      </c>
      <c r="C233" s="30"/>
      <c r="D233" s="33" t="str">
        <f>IF(C233="","",IFERROR(INDEX(협력사마스터!$B$2:$B$300,MATCH(C233,협력사마스터!$A$2:$A$300,0)),"※미등록"))</f>
        <v/>
      </c>
      <c r="E233" s="32"/>
      <c r="F233" s="33" t="str">
        <f>IF(E233="","",IFERROR(INDEX(담당자마스터!$B$2:$B$300,MATCH(E233,담당자마스터!$A$2:$A$300,0)),"※미등록"))</f>
        <v/>
      </c>
      <c r="G233" s="31"/>
      <c r="H233" s="32"/>
      <c r="I233" s="32"/>
      <c r="J233" s="32"/>
      <c r="K233" s="32"/>
      <c r="L233" s="32"/>
      <c r="M233" s="32"/>
    </row>
    <row r="234" spans="1:13" ht="15" customHeight="1">
      <c r="A234" s="30"/>
      <c r="B234" s="33" t="str">
        <f>IF(A234="","",IFERROR(INDEX(품목마스터!$B$2:$B$300,MATCH(A234,품목마스터!$A$2:$A$300,0)),"※미등록"))</f>
        <v/>
      </c>
      <c r="C234" s="30"/>
      <c r="D234" s="33" t="str">
        <f>IF(C234="","",IFERROR(INDEX(협력사마스터!$B$2:$B$300,MATCH(C234,협력사마스터!$A$2:$A$300,0)),"※미등록"))</f>
        <v/>
      </c>
      <c r="E234" s="32"/>
      <c r="F234" s="33" t="str">
        <f>IF(E234="","",IFERROR(INDEX(담당자마스터!$B$2:$B$300,MATCH(E234,담당자마스터!$A$2:$A$300,0)),"※미등록"))</f>
        <v/>
      </c>
      <c r="G234" s="31"/>
      <c r="H234" s="32"/>
      <c r="I234" s="32"/>
      <c r="J234" s="32"/>
      <c r="K234" s="32"/>
      <c r="L234" s="32"/>
      <c r="M234" s="32"/>
    </row>
    <row r="235" spans="1:13" ht="15" customHeight="1">
      <c r="A235" s="30"/>
      <c r="B235" s="33" t="str">
        <f>IF(A235="","",IFERROR(INDEX(품목마스터!$B$2:$B$300,MATCH(A235,품목마스터!$A$2:$A$300,0)),"※미등록"))</f>
        <v/>
      </c>
      <c r="C235" s="30"/>
      <c r="D235" s="33" t="str">
        <f>IF(C235="","",IFERROR(INDEX(협력사마스터!$B$2:$B$300,MATCH(C235,협력사마스터!$A$2:$A$300,0)),"※미등록"))</f>
        <v/>
      </c>
      <c r="E235" s="32"/>
      <c r="F235" s="33" t="str">
        <f>IF(E235="","",IFERROR(INDEX(담당자마스터!$B$2:$B$300,MATCH(E235,담당자마스터!$A$2:$A$300,0)),"※미등록"))</f>
        <v/>
      </c>
      <c r="G235" s="31"/>
      <c r="H235" s="32"/>
      <c r="I235" s="32"/>
      <c r="J235" s="32"/>
      <c r="K235" s="32"/>
      <c r="L235" s="32"/>
      <c r="M235" s="32"/>
    </row>
    <row r="236" spans="1:13" ht="15" customHeight="1">
      <c r="A236" s="30"/>
      <c r="B236" s="33" t="str">
        <f>IF(A236="","",IFERROR(INDEX(품목마스터!$B$2:$B$300,MATCH(A236,품목마스터!$A$2:$A$300,0)),"※미등록"))</f>
        <v/>
      </c>
      <c r="C236" s="30"/>
      <c r="D236" s="33" t="str">
        <f>IF(C236="","",IFERROR(INDEX(협력사마스터!$B$2:$B$300,MATCH(C236,협력사마스터!$A$2:$A$300,0)),"※미등록"))</f>
        <v/>
      </c>
      <c r="E236" s="32"/>
      <c r="F236" s="33" t="str">
        <f>IF(E236="","",IFERROR(INDEX(담당자마스터!$B$2:$B$300,MATCH(E236,담당자마스터!$A$2:$A$300,0)),"※미등록"))</f>
        <v/>
      </c>
      <c r="G236" s="31"/>
      <c r="H236" s="32"/>
      <c r="I236" s="32"/>
      <c r="J236" s="32"/>
      <c r="K236" s="32"/>
      <c r="L236" s="32"/>
      <c r="M236" s="32"/>
    </row>
    <row r="237" spans="1:13" ht="15" customHeight="1">
      <c r="A237" s="30"/>
      <c r="B237" s="33" t="str">
        <f>IF(A237="","",IFERROR(INDEX(품목마스터!$B$2:$B$300,MATCH(A237,품목마스터!$A$2:$A$300,0)),"※미등록"))</f>
        <v/>
      </c>
      <c r="C237" s="30"/>
      <c r="D237" s="33" t="str">
        <f>IF(C237="","",IFERROR(INDEX(협력사마스터!$B$2:$B$300,MATCH(C237,협력사마스터!$A$2:$A$300,0)),"※미등록"))</f>
        <v/>
      </c>
      <c r="E237" s="32"/>
      <c r="F237" s="33" t="str">
        <f>IF(E237="","",IFERROR(INDEX(담당자마스터!$B$2:$B$300,MATCH(E237,담당자마스터!$A$2:$A$300,0)),"※미등록"))</f>
        <v/>
      </c>
      <c r="G237" s="31"/>
      <c r="H237" s="32"/>
      <c r="I237" s="32"/>
      <c r="J237" s="32"/>
      <c r="K237" s="32"/>
      <c r="L237" s="32"/>
      <c r="M237" s="32"/>
    </row>
    <row r="238" spans="1:13" ht="15" customHeight="1">
      <c r="A238" s="30"/>
      <c r="B238" s="33" t="str">
        <f>IF(A238="","",IFERROR(INDEX(품목마스터!$B$2:$B$300,MATCH(A238,품목마스터!$A$2:$A$300,0)),"※미등록"))</f>
        <v/>
      </c>
      <c r="C238" s="30"/>
      <c r="D238" s="33" t="str">
        <f>IF(C238="","",IFERROR(INDEX(협력사마스터!$B$2:$B$300,MATCH(C238,협력사마스터!$A$2:$A$300,0)),"※미등록"))</f>
        <v/>
      </c>
      <c r="E238" s="32"/>
      <c r="F238" s="33" t="str">
        <f>IF(E238="","",IFERROR(INDEX(담당자마스터!$B$2:$B$300,MATCH(E238,담당자마스터!$A$2:$A$300,0)),"※미등록"))</f>
        <v/>
      </c>
      <c r="G238" s="31"/>
      <c r="H238" s="32"/>
      <c r="I238" s="32"/>
      <c r="J238" s="32"/>
      <c r="K238" s="32"/>
      <c r="L238" s="32"/>
      <c r="M238" s="32"/>
    </row>
    <row r="239" spans="1:13" ht="15" customHeight="1">
      <c r="A239" s="30"/>
      <c r="B239" s="33" t="str">
        <f>IF(A239="","",IFERROR(INDEX(품목마스터!$B$2:$B$300,MATCH(A239,품목마스터!$A$2:$A$300,0)),"※미등록"))</f>
        <v/>
      </c>
      <c r="C239" s="30"/>
      <c r="D239" s="33" t="str">
        <f>IF(C239="","",IFERROR(INDEX(협력사마스터!$B$2:$B$300,MATCH(C239,협력사마스터!$A$2:$A$300,0)),"※미등록"))</f>
        <v/>
      </c>
      <c r="E239" s="32"/>
      <c r="F239" s="33" t="str">
        <f>IF(E239="","",IFERROR(INDEX(담당자마스터!$B$2:$B$300,MATCH(E239,담당자마스터!$A$2:$A$300,0)),"※미등록"))</f>
        <v/>
      </c>
      <c r="G239" s="31"/>
      <c r="H239" s="32"/>
      <c r="I239" s="32"/>
      <c r="J239" s="32"/>
      <c r="K239" s="32"/>
      <c r="L239" s="32"/>
      <c r="M239" s="32"/>
    </row>
    <row r="240" spans="1:13" ht="15" customHeight="1">
      <c r="A240" s="30"/>
      <c r="B240" s="33" t="str">
        <f>IF(A240="","",IFERROR(INDEX(품목마스터!$B$2:$B$300,MATCH(A240,품목마스터!$A$2:$A$300,0)),"※미등록"))</f>
        <v/>
      </c>
      <c r="C240" s="30"/>
      <c r="D240" s="33" t="str">
        <f>IF(C240="","",IFERROR(INDEX(협력사마스터!$B$2:$B$300,MATCH(C240,협력사마스터!$A$2:$A$300,0)),"※미등록"))</f>
        <v/>
      </c>
      <c r="E240" s="32"/>
      <c r="F240" s="33" t="str">
        <f>IF(E240="","",IFERROR(INDEX(담당자마스터!$B$2:$B$300,MATCH(E240,담당자마스터!$A$2:$A$300,0)),"※미등록"))</f>
        <v/>
      </c>
      <c r="G240" s="31"/>
      <c r="H240" s="32"/>
      <c r="I240" s="32"/>
      <c r="J240" s="32"/>
      <c r="K240" s="32"/>
      <c r="L240" s="32"/>
      <c r="M240" s="32"/>
    </row>
    <row r="241" spans="1:13" ht="15" customHeight="1">
      <c r="A241" s="30"/>
      <c r="B241" s="33" t="str">
        <f>IF(A241="","",IFERROR(INDEX(품목마스터!$B$2:$B$300,MATCH(A241,품목마스터!$A$2:$A$300,0)),"※미등록"))</f>
        <v/>
      </c>
      <c r="C241" s="30"/>
      <c r="D241" s="33" t="str">
        <f>IF(C241="","",IFERROR(INDEX(협력사마스터!$B$2:$B$300,MATCH(C241,협력사마스터!$A$2:$A$300,0)),"※미등록"))</f>
        <v/>
      </c>
      <c r="E241" s="32"/>
      <c r="F241" s="33" t="str">
        <f>IF(E241="","",IFERROR(INDEX(담당자마스터!$B$2:$B$300,MATCH(E241,담당자마스터!$A$2:$A$300,0)),"※미등록"))</f>
        <v/>
      </c>
      <c r="G241" s="31"/>
      <c r="H241" s="32"/>
      <c r="I241" s="32"/>
      <c r="J241" s="32"/>
      <c r="K241" s="32"/>
      <c r="L241" s="32"/>
      <c r="M241" s="32"/>
    </row>
    <row r="242" spans="1:13" ht="15" customHeight="1">
      <c r="A242" s="30"/>
      <c r="B242" s="33" t="str">
        <f>IF(A242="","",IFERROR(INDEX(품목마스터!$B$2:$B$300,MATCH(A242,품목마스터!$A$2:$A$300,0)),"※미등록"))</f>
        <v/>
      </c>
      <c r="C242" s="30"/>
      <c r="D242" s="33" t="str">
        <f>IF(C242="","",IFERROR(INDEX(협력사마스터!$B$2:$B$300,MATCH(C242,협력사마스터!$A$2:$A$300,0)),"※미등록"))</f>
        <v/>
      </c>
      <c r="E242" s="32"/>
      <c r="F242" s="33" t="str">
        <f>IF(E242="","",IFERROR(INDEX(담당자마스터!$B$2:$B$300,MATCH(E242,담당자마스터!$A$2:$A$300,0)),"※미등록"))</f>
        <v/>
      </c>
      <c r="G242" s="31"/>
      <c r="H242" s="32"/>
      <c r="I242" s="32"/>
      <c r="J242" s="32"/>
      <c r="K242" s="32"/>
      <c r="L242" s="32"/>
      <c r="M242" s="32"/>
    </row>
    <row r="243" spans="1:13" ht="15" customHeight="1">
      <c r="A243" s="30"/>
      <c r="B243" s="33" t="str">
        <f>IF(A243="","",IFERROR(INDEX(품목마스터!$B$2:$B$300,MATCH(A243,품목마스터!$A$2:$A$300,0)),"※미등록"))</f>
        <v/>
      </c>
      <c r="C243" s="30"/>
      <c r="D243" s="33" t="str">
        <f>IF(C243="","",IFERROR(INDEX(협력사마스터!$B$2:$B$300,MATCH(C243,협력사마스터!$A$2:$A$300,0)),"※미등록"))</f>
        <v/>
      </c>
      <c r="E243" s="32"/>
      <c r="F243" s="33" t="str">
        <f>IF(E243="","",IFERROR(INDEX(담당자마스터!$B$2:$B$300,MATCH(E243,담당자마스터!$A$2:$A$300,0)),"※미등록"))</f>
        <v/>
      </c>
      <c r="G243" s="31"/>
      <c r="H243" s="32"/>
      <c r="I243" s="32"/>
      <c r="J243" s="32"/>
      <c r="K243" s="32"/>
      <c r="L243" s="32"/>
      <c r="M243" s="32"/>
    </row>
    <row r="244" spans="1:13" ht="15" customHeight="1">
      <c r="A244" s="30"/>
      <c r="B244" s="33" t="str">
        <f>IF(A244="","",IFERROR(INDEX(품목마스터!$B$2:$B$300,MATCH(A244,품목마스터!$A$2:$A$300,0)),"※미등록"))</f>
        <v/>
      </c>
      <c r="C244" s="30"/>
      <c r="D244" s="33" t="str">
        <f>IF(C244="","",IFERROR(INDEX(협력사마스터!$B$2:$B$300,MATCH(C244,협력사마스터!$A$2:$A$300,0)),"※미등록"))</f>
        <v/>
      </c>
      <c r="E244" s="32"/>
      <c r="F244" s="33" t="str">
        <f>IF(E244="","",IFERROR(INDEX(담당자마스터!$B$2:$B$300,MATCH(E244,담당자마스터!$A$2:$A$300,0)),"※미등록"))</f>
        <v/>
      </c>
      <c r="G244" s="31"/>
      <c r="H244" s="32"/>
      <c r="I244" s="32"/>
      <c r="J244" s="32"/>
      <c r="K244" s="32"/>
      <c r="L244" s="32"/>
      <c r="M244" s="32"/>
    </row>
    <row r="245" spans="1:13" ht="15" customHeight="1">
      <c r="A245" s="30"/>
      <c r="B245" s="33" t="str">
        <f>IF(A245="","",IFERROR(INDEX(품목마스터!$B$2:$B$300,MATCH(A245,품목마스터!$A$2:$A$300,0)),"※미등록"))</f>
        <v/>
      </c>
      <c r="C245" s="30"/>
      <c r="D245" s="33" t="str">
        <f>IF(C245="","",IFERROR(INDEX(협력사마스터!$B$2:$B$300,MATCH(C245,협력사마스터!$A$2:$A$300,0)),"※미등록"))</f>
        <v/>
      </c>
      <c r="E245" s="32"/>
      <c r="F245" s="33" t="str">
        <f>IF(E245="","",IFERROR(INDEX(담당자마스터!$B$2:$B$300,MATCH(E245,담당자마스터!$A$2:$A$300,0)),"※미등록"))</f>
        <v/>
      </c>
      <c r="G245" s="31"/>
      <c r="H245" s="32"/>
      <c r="I245" s="32"/>
      <c r="J245" s="32"/>
      <c r="K245" s="32"/>
      <c r="L245" s="32"/>
      <c r="M245" s="32"/>
    </row>
    <row r="246" spans="1:13" ht="15" customHeight="1">
      <c r="A246" s="30"/>
      <c r="B246" s="33" t="str">
        <f>IF(A246="","",IFERROR(INDEX(품목마스터!$B$2:$B$300,MATCH(A246,품목마스터!$A$2:$A$300,0)),"※미등록"))</f>
        <v/>
      </c>
      <c r="C246" s="30"/>
      <c r="D246" s="33" t="str">
        <f>IF(C246="","",IFERROR(INDEX(협력사마스터!$B$2:$B$300,MATCH(C246,협력사마스터!$A$2:$A$300,0)),"※미등록"))</f>
        <v/>
      </c>
      <c r="E246" s="32"/>
      <c r="F246" s="33" t="str">
        <f>IF(E246="","",IFERROR(INDEX(담당자마스터!$B$2:$B$300,MATCH(E246,담당자마스터!$A$2:$A$300,0)),"※미등록"))</f>
        <v/>
      </c>
      <c r="G246" s="31"/>
      <c r="H246" s="32"/>
      <c r="I246" s="32"/>
      <c r="J246" s="32"/>
      <c r="K246" s="32"/>
      <c r="L246" s="32"/>
      <c r="M246" s="32"/>
    </row>
    <row r="247" spans="1:13" ht="15" customHeight="1">
      <c r="A247" s="30"/>
      <c r="B247" s="33" t="str">
        <f>IF(A247="","",IFERROR(INDEX(품목마스터!$B$2:$B$300,MATCH(A247,품목마스터!$A$2:$A$300,0)),"※미등록"))</f>
        <v/>
      </c>
      <c r="C247" s="30"/>
      <c r="D247" s="33" t="str">
        <f>IF(C247="","",IFERROR(INDEX(협력사마스터!$B$2:$B$300,MATCH(C247,협력사마스터!$A$2:$A$300,0)),"※미등록"))</f>
        <v/>
      </c>
      <c r="E247" s="32"/>
      <c r="F247" s="33" t="str">
        <f>IF(E247="","",IFERROR(INDEX(담당자마스터!$B$2:$B$300,MATCH(E247,담당자마스터!$A$2:$A$300,0)),"※미등록"))</f>
        <v/>
      </c>
      <c r="G247" s="31"/>
      <c r="H247" s="32"/>
      <c r="I247" s="32"/>
      <c r="J247" s="32"/>
      <c r="K247" s="32"/>
      <c r="L247" s="32"/>
      <c r="M247" s="32"/>
    </row>
    <row r="248" spans="1:13" ht="15" customHeight="1">
      <c r="A248" s="30"/>
      <c r="B248" s="33" t="str">
        <f>IF(A248="","",IFERROR(INDEX(품목마스터!$B$2:$B$300,MATCH(A248,품목마스터!$A$2:$A$300,0)),"※미등록"))</f>
        <v/>
      </c>
      <c r="C248" s="30"/>
      <c r="D248" s="33" t="str">
        <f>IF(C248="","",IFERROR(INDEX(협력사마스터!$B$2:$B$300,MATCH(C248,협력사마스터!$A$2:$A$300,0)),"※미등록"))</f>
        <v/>
      </c>
      <c r="E248" s="32"/>
      <c r="F248" s="33" t="str">
        <f>IF(E248="","",IFERROR(INDEX(담당자마스터!$B$2:$B$300,MATCH(E248,담당자마스터!$A$2:$A$300,0)),"※미등록"))</f>
        <v/>
      </c>
      <c r="G248" s="31"/>
      <c r="H248" s="32"/>
      <c r="I248" s="32"/>
      <c r="J248" s="32"/>
      <c r="K248" s="32"/>
      <c r="L248" s="32"/>
      <c r="M248" s="32"/>
    </row>
    <row r="249" spans="1:13" ht="15" customHeight="1">
      <c r="A249" s="30"/>
      <c r="B249" s="33" t="str">
        <f>IF(A249="","",IFERROR(INDEX(품목마스터!$B$2:$B$300,MATCH(A249,품목마스터!$A$2:$A$300,0)),"※미등록"))</f>
        <v/>
      </c>
      <c r="C249" s="30"/>
      <c r="D249" s="33" t="str">
        <f>IF(C249="","",IFERROR(INDEX(협력사마스터!$B$2:$B$300,MATCH(C249,협력사마스터!$A$2:$A$300,0)),"※미등록"))</f>
        <v/>
      </c>
      <c r="E249" s="32"/>
      <c r="F249" s="33" t="str">
        <f>IF(E249="","",IFERROR(INDEX(담당자마스터!$B$2:$B$300,MATCH(E249,담당자마스터!$A$2:$A$300,0)),"※미등록"))</f>
        <v/>
      </c>
      <c r="G249" s="31"/>
      <c r="H249" s="32"/>
      <c r="I249" s="32"/>
      <c r="J249" s="32"/>
      <c r="K249" s="32"/>
      <c r="L249" s="32"/>
      <c r="M249" s="32"/>
    </row>
    <row r="250" spans="1:13" ht="15" customHeight="1">
      <c r="A250" s="30"/>
      <c r="B250" s="33" t="str">
        <f>IF(A250="","",IFERROR(INDEX(품목마스터!$B$2:$B$300,MATCH(A250,품목마스터!$A$2:$A$300,0)),"※미등록"))</f>
        <v/>
      </c>
      <c r="C250" s="30"/>
      <c r="D250" s="33" t="str">
        <f>IF(C250="","",IFERROR(INDEX(협력사마스터!$B$2:$B$300,MATCH(C250,협력사마스터!$A$2:$A$300,0)),"※미등록"))</f>
        <v/>
      </c>
      <c r="E250" s="32"/>
      <c r="F250" s="33" t="str">
        <f>IF(E250="","",IFERROR(INDEX(담당자마스터!$B$2:$B$300,MATCH(E250,담당자마스터!$A$2:$A$300,0)),"※미등록"))</f>
        <v/>
      </c>
      <c r="G250" s="31"/>
      <c r="H250" s="32"/>
      <c r="I250" s="32"/>
      <c r="J250" s="32"/>
      <c r="K250" s="32"/>
      <c r="L250" s="32"/>
      <c r="M250" s="32"/>
    </row>
    <row r="251" spans="1:13" ht="15" customHeight="1">
      <c r="A251" s="30"/>
      <c r="B251" s="33" t="str">
        <f>IF(A251="","",IFERROR(INDEX(품목마스터!$B$2:$B$300,MATCH(A251,품목마스터!$A$2:$A$300,0)),"※미등록"))</f>
        <v/>
      </c>
      <c r="C251" s="30"/>
      <c r="D251" s="33" t="str">
        <f>IF(C251="","",IFERROR(INDEX(협력사마스터!$B$2:$B$300,MATCH(C251,협력사마스터!$A$2:$A$300,0)),"※미등록"))</f>
        <v/>
      </c>
      <c r="E251" s="32"/>
      <c r="F251" s="33" t="str">
        <f>IF(E251="","",IFERROR(INDEX(담당자마스터!$B$2:$B$300,MATCH(E251,담당자마스터!$A$2:$A$300,0)),"※미등록"))</f>
        <v/>
      </c>
      <c r="G251" s="31"/>
      <c r="H251" s="32"/>
      <c r="I251" s="32"/>
      <c r="J251" s="32"/>
      <c r="K251" s="32"/>
      <c r="L251" s="32"/>
      <c r="M251" s="32"/>
    </row>
    <row r="252" spans="1:13" ht="15" customHeight="1">
      <c r="A252" s="30"/>
      <c r="B252" s="33" t="str">
        <f>IF(A252="","",IFERROR(INDEX(품목마스터!$B$2:$B$300,MATCH(A252,품목마스터!$A$2:$A$300,0)),"※미등록"))</f>
        <v/>
      </c>
      <c r="C252" s="30"/>
      <c r="D252" s="33" t="str">
        <f>IF(C252="","",IFERROR(INDEX(협력사마스터!$B$2:$B$300,MATCH(C252,협력사마스터!$A$2:$A$300,0)),"※미등록"))</f>
        <v/>
      </c>
      <c r="E252" s="32"/>
      <c r="F252" s="33" t="str">
        <f>IF(E252="","",IFERROR(INDEX(담당자마스터!$B$2:$B$300,MATCH(E252,담당자마스터!$A$2:$A$300,0)),"※미등록"))</f>
        <v/>
      </c>
      <c r="G252" s="31"/>
      <c r="H252" s="32"/>
      <c r="I252" s="32"/>
      <c r="J252" s="32"/>
      <c r="K252" s="32"/>
      <c r="L252" s="32"/>
      <c r="M252" s="32"/>
    </row>
    <row r="253" spans="1:13" ht="15" customHeight="1">
      <c r="A253" s="30"/>
      <c r="B253" s="33" t="str">
        <f>IF(A253="","",IFERROR(INDEX(품목마스터!$B$2:$B$300,MATCH(A253,품목마스터!$A$2:$A$300,0)),"※미등록"))</f>
        <v/>
      </c>
      <c r="C253" s="30"/>
      <c r="D253" s="33" t="str">
        <f>IF(C253="","",IFERROR(INDEX(협력사마스터!$B$2:$B$300,MATCH(C253,협력사마스터!$A$2:$A$300,0)),"※미등록"))</f>
        <v/>
      </c>
      <c r="E253" s="32"/>
      <c r="F253" s="33" t="str">
        <f>IF(E253="","",IFERROR(INDEX(담당자마스터!$B$2:$B$300,MATCH(E253,담당자마스터!$A$2:$A$300,0)),"※미등록"))</f>
        <v/>
      </c>
      <c r="G253" s="31"/>
      <c r="H253" s="32"/>
      <c r="I253" s="32"/>
      <c r="J253" s="32"/>
      <c r="K253" s="32"/>
      <c r="L253" s="32"/>
      <c r="M253" s="32"/>
    </row>
    <row r="254" spans="1:13" ht="15" customHeight="1">
      <c r="A254" s="30"/>
      <c r="B254" s="33" t="str">
        <f>IF(A254="","",IFERROR(INDEX(품목마스터!$B$2:$B$300,MATCH(A254,품목마스터!$A$2:$A$300,0)),"※미등록"))</f>
        <v/>
      </c>
      <c r="C254" s="30"/>
      <c r="D254" s="33" t="str">
        <f>IF(C254="","",IFERROR(INDEX(협력사마스터!$B$2:$B$300,MATCH(C254,협력사마스터!$A$2:$A$300,0)),"※미등록"))</f>
        <v/>
      </c>
      <c r="E254" s="32"/>
      <c r="F254" s="33" t="str">
        <f>IF(E254="","",IFERROR(INDEX(담당자마스터!$B$2:$B$300,MATCH(E254,담당자마스터!$A$2:$A$300,0)),"※미등록"))</f>
        <v/>
      </c>
      <c r="G254" s="31"/>
      <c r="H254" s="32"/>
      <c r="I254" s="32"/>
      <c r="J254" s="32"/>
      <c r="K254" s="32"/>
      <c r="L254" s="32"/>
      <c r="M254" s="32"/>
    </row>
    <row r="255" spans="1:13" ht="15" customHeight="1">
      <c r="A255" s="30"/>
      <c r="B255" s="33" t="str">
        <f>IF(A255="","",IFERROR(INDEX(품목마스터!$B$2:$B$300,MATCH(A255,품목마스터!$A$2:$A$300,0)),"※미등록"))</f>
        <v/>
      </c>
      <c r="C255" s="30"/>
      <c r="D255" s="33" t="str">
        <f>IF(C255="","",IFERROR(INDEX(협력사마스터!$B$2:$B$300,MATCH(C255,협력사마스터!$A$2:$A$300,0)),"※미등록"))</f>
        <v/>
      </c>
      <c r="E255" s="32"/>
      <c r="F255" s="33" t="str">
        <f>IF(E255="","",IFERROR(INDEX(담당자마스터!$B$2:$B$300,MATCH(E255,담당자마스터!$A$2:$A$300,0)),"※미등록"))</f>
        <v/>
      </c>
      <c r="G255" s="31"/>
      <c r="H255" s="32"/>
      <c r="I255" s="32"/>
      <c r="J255" s="32"/>
      <c r="K255" s="32"/>
      <c r="L255" s="32"/>
      <c r="M255" s="32"/>
    </row>
    <row r="256" spans="1:13" ht="15" customHeight="1">
      <c r="A256" s="30"/>
      <c r="B256" s="33" t="str">
        <f>IF(A256="","",IFERROR(INDEX(품목마스터!$B$2:$B$300,MATCH(A256,품목마스터!$A$2:$A$300,0)),"※미등록"))</f>
        <v/>
      </c>
      <c r="C256" s="30"/>
      <c r="D256" s="33" t="str">
        <f>IF(C256="","",IFERROR(INDEX(협력사마스터!$B$2:$B$300,MATCH(C256,협력사마스터!$A$2:$A$300,0)),"※미등록"))</f>
        <v/>
      </c>
      <c r="E256" s="32"/>
      <c r="F256" s="33" t="str">
        <f>IF(E256="","",IFERROR(INDEX(담당자마스터!$B$2:$B$300,MATCH(E256,담당자마스터!$A$2:$A$300,0)),"※미등록"))</f>
        <v/>
      </c>
      <c r="G256" s="31"/>
      <c r="H256" s="32"/>
      <c r="I256" s="32"/>
      <c r="J256" s="32"/>
      <c r="K256" s="32"/>
      <c r="L256" s="32"/>
      <c r="M256" s="32"/>
    </row>
    <row r="257" spans="1:13" ht="15" customHeight="1">
      <c r="A257" s="30"/>
      <c r="B257" s="33" t="str">
        <f>IF(A257="","",IFERROR(INDEX(품목마스터!$B$2:$B$300,MATCH(A257,품목마스터!$A$2:$A$300,0)),"※미등록"))</f>
        <v/>
      </c>
      <c r="C257" s="30"/>
      <c r="D257" s="33" t="str">
        <f>IF(C257="","",IFERROR(INDEX(협력사마스터!$B$2:$B$300,MATCH(C257,협력사마스터!$A$2:$A$300,0)),"※미등록"))</f>
        <v/>
      </c>
      <c r="E257" s="32"/>
      <c r="F257" s="33" t="str">
        <f>IF(E257="","",IFERROR(INDEX(담당자마스터!$B$2:$B$300,MATCH(E257,담당자마스터!$A$2:$A$300,0)),"※미등록"))</f>
        <v/>
      </c>
      <c r="G257" s="31"/>
      <c r="H257" s="32"/>
      <c r="I257" s="32"/>
      <c r="J257" s="32"/>
      <c r="K257" s="32"/>
      <c r="L257" s="32"/>
      <c r="M257" s="32"/>
    </row>
    <row r="258" spans="1:13" ht="15" customHeight="1">
      <c r="A258" s="30"/>
      <c r="B258" s="33" t="str">
        <f>IF(A258="","",IFERROR(INDEX(품목마스터!$B$2:$B$300,MATCH(A258,품목마스터!$A$2:$A$300,0)),"※미등록"))</f>
        <v/>
      </c>
      <c r="C258" s="30"/>
      <c r="D258" s="33" t="str">
        <f>IF(C258="","",IFERROR(INDEX(협력사마스터!$B$2:$B$300,MATCH(C258,협력사마스터!$A$2:$A$300,0)),"※미등록"))</f>
        <v/>
      </c>
      <c r="E258" s="32"/>
      <c r="F258" s="33" t="str">
        <f>IF(E258="","",IFERROR(INDEX(담당자마스터!$B$2:$B$300,MATCH(E258,담당자마스터!$A$2:$A$300,0)),"※미등록"))</f>
        <v/>
      </c>
      <c r="G258" s="31"/>
      <c r="H258" s="32"/>
      <c r="I258" s="32"/>
      <c r="J258" s="32"/>
      <c r="K258" s="32"/>
      <c r="L258" s="32"/>
      <c r="M258" s="32"/>
    </row>
    <row r="259" spans="1:13" ht="15" customHeight="1">
      <c r="A259" s="30"/>
      <c r="B259" s="33" t="str">
        <f>IF(A259="","",IFERROR(INDEX(품목마스터!$B$2:$B$300,MATCH(A259,품목마스터!$A$2:$A$300,0)),"※미등록"))</f>
        <v/>
      </c>
      <c r="C259" s="30"/>
      <c r="D259" s="33" t="str">
        <f>IF(C259="","",IFERROR(INDEX(협력사마스터!$B$2:$B$300,MATCH(C259,협력사마스터!$A$2:$A$300,0)),"※미등록"))</f>
        <v/>
      </c>
      <c r="E259" s="32"/>
      <c r="F259" s="33" t="str">
        <f>IF(E259="","",IFERROR(INDEX(담당자마스터!$B$2:$B$300,MATCH(E259,담당자마스터!$A$2:$A$300,0)),"※미등록"))</f>
        <v/>
      </c>
      <c r="G259" s="31"/>
      <c r="H259" s="32"/>
      <c r="I259" s="32"/>
      <c r="J259" s="32"/>
      <c r="K259" s="32"/>
      <c r="L259" s="32"/>
      <c r="M259" s="32"/>
    </row>
    <row r="260" spans="1:13" ht="15" customHeight="1">
      <c r="A260" s="30"/>
      <c r="B260" s="33" t="str">
        <f>IF(A260="","",IFERROR(INDEX(품목마스터!$B$2:$B$300,MATCH(A260,품목마스터!$A$2:$A$300,0)),"※미등록"))</f>
        <v/>
      </c>
      <c r="C260" s="30"/>
      <c r="D260" s="33" t="str">
        <f>IF(C260="","",IFERROR(INDEX(협력사마스터!$B$2:$B$300,MATCH(C260,협력사마스터!$A$2:$A$300,0)),"※미등록"))</f>
        <v/>
      </c>
      <c r="E260" s="32"/>
      <c r="F260" s="33" t="str">
        <f>IF(E260="","",IFERROR(INDEX(담당자마스터!$B$2:$B$300,MATCH(E260,담당자마스터!$A$2:$A$300,0)),"※미등록"))</f>
        <v/>
      </c>
      <c r="G260" s="31"/>
      <c r="H260" s="32"/>
      <c r="I260" s="32"/>
      <c r="J260" s="32"/>
      <c r="K260" s="32"/>
      <c r="L260" s="32"/>
      <c r="M260" s="32"/>
    </row>
    <row r="261" spans="1:13" ht="15" customHeight="1">
      <c r="A261" s="30"/>
      <c r="B261" s="33" t="str">
        <f>IF(A261="","",IFERROR(INDEX(품목마스터!$B$2:$B$300,MATCH(A261,품목마스터!$A$2:$A$300,0)),"※미등록"))</f>
        <v/>
      </c>
      <c r="C261" s="30"/>
      <c r="D261" s="33" t="str">
        <f>IF(C261="","",IFERROR(INDEX(협력사마스터!$B$2:$B$300,MATCH(C261,협력사마스터!$A$2:$A$300,0)),"※미등록"))</f>
        <v/>
      </c>
      <c r="E261" s="32"/>
      <c r="F261" s="33" t="str">
        <f>IF(E261="","",IFERROR(INDEX(담당자마스터!$B$2:$B$300,MATCH(E261,담당자마스터!$A$2:$A$300,0)),"※미등록"))</f>
        <v/>
      </c>
      <c r="G261" s="31"/>
      <c r="H261" s="32"/>
      <c r="I261" s="32"/>
      <c r="J261" s="32"/>
      <c r="K261" s="32"/>
      <c r="L261" s="32"/>
      <c r="M261" s="32"/>
    </row>
    <row r="262" spans="1:13" ht="15" customHeight="1">
      <c r="A262" s="30"/>
      <c r="B262" s="33" t="str">
        <f>IF(A262="","",IFERROR(INDEX(품목마스터!$B$2:$B$300,MATCH(A262,품목마스터!$A$2:$A$300,0)),"※미등록"))</f>
        <v/>
      </c>
      <c r="C262" s="30"/>
      <c r="D262" s="33" t="str">
        <f>IF(C262="","",IFERROR(INDEX(협력사마스터!$B$2:$B$300,MATCH(C262,협력사마스터!$A$2:$A$300,0)),"※미등록"))</f>
        <v/>
      </c>
      <c r="E262" s="32"/>
      <c r="F262" s="33" t="str">
        <f>IF(E262="","",IFERROR(INDEX(담당자마스터!$B$2:$B$300,MATCH(E262,담당자마스터!$A$2:$A$300,0)),"※미등록"))</f>
        <v/>
      </c>
      <c r="G262" s="31"/>
      <c r="H262" s="32"/>
      <c r="I262" s="32"/>
      <c r="J262" s="32"/>
      <c r="K262" s="32"/>
      <c r="L262" s="32"/>
      <c r="M262" s="32"/>
    </row>
    <row r="263" spans="1:13" ht="15" customHeight="1">
      <c r="A263" s="30"/>
      <c r="B263" s="33" t="str">
        <f>IF(A263="","",IFERROR(INDEX(품목마스터!$B$2:$B$300,MATCH(A263,품목마스터!$A$2:$A$300,0)),"※미등록"))</f>
        <v/>
      </c>
      <c r="C263" s="30"/>
      <c r="D263" s="33" t="str">
        <f>IF(C263="","",IFERROR(INDEX(협력사마스터!$B$2:$B$300,MATCH(C263,협력사마스터!$A$2:$A$300,0)),"※미등록"))</f>
        <v/>
      </c>
      <c r="E263" s="32"/>
      <c r="F263" s="33" t="str">
        <f>IF(E263="","",IFERROR(INDEX(담당자마스터!$B$2:$B$300,MATCH(E263,담당자마스터!$A$2:$A$300,0)),"※미등록"))</f>
        <v/>
      </c>
      <c r="G263" s="31"/>
      <c r="H263" s="32"/>
      <c r="I263" s="32"/>
      <c r="J263" s="32"/>
      <c r="K263" s="32"/>
      <c r="L263" s="32"/>
      <c r="M263" s="32"/>
    </row>
    <row r="264" spans="1:13" ht="15" customHeight="1">
      <c r="A264" s="30"/>
      <c r="B264" s="33" t="str">
        <f>IF(A264="","",IFERROR(INDEX(품목마스터!$B$2:$B$300,MATCH(A264,품목마스터!$A$2:$A$300,0)),"※미등록"))</f>
        <v/>
      </c>
      <c r="C264" s="30"/>
      <c r="D264" s="33" t="str">
        <f>IF(C264="","",IFERROR(INDEX(협력사마스터!$B$2:$B$300,MATCH(C264,협력사마스터!$A$2:$A$300,0)),"※미등록"))</f>
        <v/>
      </c>
      <c r="E264" s="32"/>
      <c r="F264" s="33" t="str">
        <f>IF(E264="","",IFERROR(INDEX(담당자마스터!$B$2:$B$300,MATCH(E264,담당자마스터!$A$2:$A$300,0)),"※미등록"))</f>
        <v/>
      </c>
      <c r="G264" s="31"/>
      <c r="H264" s="32"/>
      <c r="I264" s="32"/>
      <c r="J264" s="32"/>
      <c r="K264" s="32"/>
      <c r="L264" s="32"/>
      <c r="M264" s="32"/>
    </row>
    <row r="265" spans="1:13" ht="15" customHeight="1">
      <c r="A265" s="30"/>
      <c r="B265" s="33" t="str">
        <f>IF(A265="","",IFERROR(INDEX(품목마스터!$B$2:$B$300,MATCH(A265,품목마스터!$A$2:$A$300,0)),"※미등록"))</f>
        <v/>
      </c>
      <c r="C265" s="30"/>
      <c r="D265" s="33" t="str">
        <f>IF(C265="","",IFERROR(INDEX(협력사마스터!$B$2:$B$300,MATCH(C265,협력사마스터!$A$2:$A$300,0)),"※미등록"))</f>
        <v/>
      </c>
      <c r="E265" s="32"/>
      <c r="F265" s="33" t="str">
        <f>IF(E265="","",IFERROR(INDEX(담당자마스터!$B$2:$B$300,MATCH(E265,담당자마스터!$A$2:$A$300,0)),"※미등록"))</f>
        <v/>
      </c>
      <c r="G265" s="31"/>
      <c r="H265" s="32"/>
      <c r="I265" s="32"/>
      <c r="J265" s="32"/>
      <c r="K265" s="32"/>
      <c r="L265" s="32"/>
      <c r="M265" s="32"/>
    </row>
    <row r="266" spans="1:13" ht="15" customHeight="1">
      <c r="A266" s="30"/>
      <c r="B266" s="33" t="str">
        <f>IF(A266="","",IFERROR(INDEX(품목마스터!$B$2:$B$300,MATCH(A266,품목마스터!$A$2:$A$300,0)),"※미등록"))</f>
        <v/>
      </c>
      <c r="C266" s="30"/>
      <c r="D266" s="33" t="str">
        <f>IF(C266="","",IFERROR(INDEX(협력사마스터!$B$2:$B$300,MATCH(C266,협력사마스터!$A$2:$A$300,0)),"※미등록"))</f>
        <v/>
      </c>
      <c r="E266" s="32"/>
      <c r="F266" s="33" t="str">
        <f>IF(E266="","",IFERROR(INDEX(담당자마스터!$B$2:$B$300,MATCH(E266,담당자마스터!$A$2:$A$300,0)),"※미등록"))</f>
        <v/>
      </c>
      <c r="G266" s="31"/>
      <c r="H266" s="32"/>
      <c r="I266" s="32"/>
      <c r="J266" s="32"/>
      <c r="K266" s="32"/>
      <c r="L266" s="32"/>
      <c r="M266" s="32"/>
    </row>
    <row r="267" spans="1:13" ht="15" customHeight="1">
      <c r="A267" s="30"/>
      <c r="B267" s="33" t="str">
        <f>IF(A267="","",IFERROR(INDEX(품목마스터!$B$2:$B$300,MATCH(A267,품목마스터!$A$2:$A$300,0)),"※미등록"))</f>
        <v/>
      </c>
      <c r="C267" s="30"/>
      <c r="D267" s="33" t="str">
        <f>IF(C267="","",IFERROR(INDEX(협력사마스터!$B$2:$B$300,MATCH(C267,협력사마스터!$A$2:$A$300,0)),"※미등록"))</f>
        <v/>
      </c>
      <c r="E267" s="32"/>
      <c r="F267" s="33" t="str">
        <f>IF(E267="","",IFERROR(INDEX(담당자마스터!$B$2:$B$300,MATCH(E267,담당자마스터!$A$2:$A$300,0)),"※미등록"))</f>
        <v/>
      </c>
      <c r="G267" s="31"/>
      <c r="H267" s="32"/>
      <c r="I267" s="32"/>
      <c r="J267" s="32"/>
      <c r="K267" s="32"/>
      <c r="L267" s="32"/>
      <c r="M267" s="32"/>
    </row>
    <row r="268" spans="1:13" ht="15" customHeight="1">
      <c r="A268" s="30"/>
      <c r="B268" s="33" t="str">
        <f>IF(A268="","",IFERROR(INDEX(품목마스터!$B$2:$B$300,MATCH(A268,품목마스터!$A$2:$A$300,0)),"※미등록"))</f>
        <v/>
      </c>
      <c r="C268" s="30"/>
      <c r="D268" s="33" t="str">
        <f>IF(C268="","",IFERROR(INDEX(협력사마스터!$B$2:$B$300,MATCH(C268,협력사마스터!$A$2:$A$300,0)),"※미등록"))</f>
        <v/>
      </c>
      <c r="E268" s="32"/>
      <c r="F268" s="33" t="str">
        <f>IF(E268="","",IFERROR(INDEX(담당자마스터!$B$2:$B$300,MATCH(E268,담당자마스터!$A$2:$A$300,0)),"※미등록"))</f>
        <v/>
      </c>
      <c r="G268" s="31"/>
      <c r="H268" s="32"/>
      <c r="I268" s="32"/>
      <c r="J268" s="32"/>
      <c r="K268" s="32"/>
      <c r="L268" s="32"/>
      <c r="M268" s="32"/>
    </row>
    <row r="269" spans="1:13" ht="15" customHeight="1">
      <c r="A269" s="30"/>
      <c r="B269" s="33" t="str">
        <f>IF(A269="","",IFERROR(INDEX(품목마스터!$B$2:$B$300,MATCH(A269,품목마스터!$A$2:$A$300,0)),"※미등록"))</f>
        <v/>
      </c>
      <c r="C269" s="30"/>
      <c r="D269" s="33" t="str">
        <f>IF(C269="","",IFERROR(INDEX(협력사마스터!$B$2:$B$300,MATCH(C269,협력사마스터!$A$2:$A$300,0)),"※미등록"))</f>
        <v/>
      </c>
      <c r="E269" s="32"/>
      <c r="F269" s="33" t="str">
        <f>IF(E269="","",IFERROR(INDEX(담당자마스터!$B$2:$B$300,MATCH(E269,담당자마스터!$A$2:$A$300,0)),"※미등록"))</f>
        <v/>
      </c>
      <c r="G269" s="31"/>
      <c r="H269" s="32"/>
      <c r="I269" s="32"/>
      <c r="J269" s="32"/>
      <c r="K269" s="32"/>
      <c r="L269" s="32"/>
      <c r="M269" s="32"/>
    </row>
    <row r="270" spans="1:13" ht="15" customHeight="1">
      <c r="A270" s="30"/>
      <c r="B270" s="33" t="str">
        <f>IF(A270="","",IFERROR(INDEX(품목마스터!$B$2:$B$300,MATCH(A270,품목마스터!$A$2:$A$300,0)),"※미등록"))</f>
        <v/>
      </c>
      <c r="C270" s="30"/>
      <c r="D270" s="33" t="str">
        <f>IF(C270="","",IFERROR(INDEX(협력사마스터!$B$2:$B$300,MATCH(C270,협력사마스터!$A$2:$A$300,0)),"※미등록"))</f>
        <v/>
      </c>
      <c r="E270" s="32"/>
      <c r="F270" s="33" t="str">
        <f>IF(E270="","",IFERROR(INDEX(담당자마스터!$B$2:$B$300,MATCH(E270,담당자마스터!$A$2:$A$300,0)),"※미등록"))</f>
        <v/>
      </c>
      <c r="G270" s="31"/>
      <c r="H270" s="32"/>
      <c r="I270" s="32"/>
      <c r="J270" s="32"/>
      <c r="K270" s="32"/>
      <c r="L270" s="32"/>
      <c r="M270" s="32"/>
    </row>
    <row r="271" spans="1:13" ht="15" customHeight="1">
      <c r="A271" s="30"/>
      <c r="B271" s="33" t="str">
        <f>IF(A271="","",IFERROR(INDEX(품목마스터!$B$2:$B$300,MATCH(A271,품목마스터!$A$2:$A$300,0)),"※미등록"))</f>
        <v/>
      </c>
      <c r="C271" s="30"/>
      <c r="D271" s="33" t="str">
        <f>IF(C271="","",IFERROR(INDEX(협력사마스터!$B$2:$B$300,MATCH(C271,협력사마스터!$A$2:$A$300,0)),"※미등록"))</f>
        <v/>
      </c>
      <c r="E271" s="32"/>
      <c r="F271" s="33" t="str">
        <f>IF(E271="","",IFERROR(INDEX(담당자마스터!$B$2:$B$300,MATCH(E271,담당자마스터!$A$2:$A$300,0)),"※미등록"))</f>
        <v/>
      </c>
      <c r="G271" s="31"/>
      <c r="H271" s="32"/>
      <c r="I271" s="32"/>
      <c r="J271" s="32"/>
      <c r="K271" s="32"/>
      <c r="L271" s="32"/>
      <c r="M271" s="32"/>
    </row>
    <row r="272" spans="1:13" ht="15" customHeight="1">
      <c r="A272" s="30"/>
      <c r="B272" s="33" t="str">
        <f>IF(A272="","",IFERROR(INDEX(품목마스터!$B$2:$B$300,MATCH(A272,품목마스터!$A$2:$A$300,0)),"※미등록"))</f>
        <v/>
      </c>
      <c r="C272" s="30"/>
      <c r="D272" s="33" t="str">
        <f>IF(C272="","",IFERROR(INDEX(협력사마스터!$B$2:$B$300,MATCH(C272,협력사마스터!$A$2:$A$300,0)),"※미등록"))</f>
        <v/>
      </c>
      <c r="E272" s="32"/>
      <c r="F272" s="33" t="str">
        <f>IF(E272="","",IFERROR(INDEX(담당자마스터!$B$2:$B$300,MATCH(E272,담당자마스터!$A$2:$A$300,0)),"※미등록"))</f>
        <v/>
      </c>
      <c r="G272" s="31"/>
      <c r="H272" s="32"/>
      <c r="I272" s="32"/>
      <c r="J272" s="32"/>
      <c r="K272" s="32"/>
      <c r="L272" s="32"/>
      <c r="M272" s="32"/>
    </row>
    <row r="273" spans="1:13" ht="15" customHeight="1">
      <c r="A273" s="30"/>
      <c r="B273" s="33" t="str">
        <f>IF(A273="","",IFERROR(INDEX(품목마스터!$B$2:$B$300,MATCH(A273,품목마스터!$A$2:$A$300,0)),"※미등록"))</f>
        <v/>
      </c>
      <c r="C273" s="30"/>
      <c r="D273" s="33" t="str">
        <f>IF(C273="","",IFERROR(INDEX(협력사마스터!$B$2:$B$300,MATCH(C273,협력사마스터!$A$2:$A$300,0)),"※미등록"))</f>
        <v/>
      </c>
      <c r="E273" s="32"/>
      <c r="F273" s="33" t="str">
        <f>IF(E273="","",IFERROR(INDEX(담당자마스터!$B$2:$B$300,MATCH(E273,담당자마스터!$A$2:$A$300,0)),"※미등록"))</f>
        <v/>
      </c>
      <c r="G273" s="31"/>
      <c r="H273" s="32"/>
      <c r="I273" s="32"/>
      <c r="J273" s="32"/>
      <c r="K273" s="32"/>
      <c r="L273" s="32"/>
      <c r="M273" s="32"/>
    </row>
    <row r="274" spans="1:13" ht="15" customHeight="1">
      <c r="A274" s="30"/>
      <c r="B274" s="33" t="str">
        <f>IF(A274="","",IFERROR(INDEX(품목마스터!$B$2:$B$300,MATCH(A274,품목마스터!$A$2:$A$300,0)),"※미등록"))</f>
        <v/>
      </c>
      <c r="C274" s="30"/>
      <c r="D274" s="33" t="str">
        <f>IF(C274="","",IFERROR(INDEX(협력사마스터!$B$2:$B$300,MATCH(C274,협력사마스터!$A$2:$A$300,0)),"※미등록"))</f>
        <v/>
      </c>
      <c r="E274" s="32"/>
      <c r="F274" s="33" t="str">
        <f>IF(E274="","",IFERROR(INDEX(담당자마스터!$B$2:$B$300,MATCH(E274,담당자마스터!$A$2:$A$300,0)),"※미등록"))</f>
        <v/>
      </c>
      <c r="G274" s="31"/>
      <c r="H274" s="32"/>
      <c r="I274" s="32"/>
      <c r="J274" s="32"/>
      <c r="K274" s="32"/>
      <c r="L274" s="32"/>
      <c r="M274" s="32"/>
    </row>
    <row r="275" spans="1:13" ht="15" customHeight="1">
      <c r="A275" s="30"/>
      <c r="B275" s="33" t="str">
        <f>IF(A275="","",IFERROR(INDEX(품목마스터!$B$2:$B$300,MATCH(A275,품목마스터!$A$2:$A$300,0)),"※미등록"))</f>
        <v/>
      </c>
      <c r="C275" s="30"/>
      <c r="D275" s="33" t="str">
        <f>IF(C275="","",IFERROR(INDEX(협력사마스터!$B$2:$B$300,MATCH(C275,협력사마스터!$A$2:$A$300,0)),"※미등록"))</f>
        <v/>
      </c>
      <c r="E275" s="32"/>
      <c r="F275" s="33" t="str">
        <f>IF(E275="","",IFERROR(INDEX(담당자마스터!$B$2:$B$300,MATCH(E275,담당자마스터!$A$2:$A$300,0)),"※미등록"))</f>
        <v/>
      </c>
      <c r="G275" s="31"/>
      <c r="H275" s="32"/>
      <c r="I275" s="32"/>
      <c r="J275" s="32"/>
      <c r="K275" s="32"/>
      <c r="L275" s="32"/>
      <c r="M275" s="32"/>
    </row>
    <row r="276" spans="1:13" ht="15" customHeight="1">
      <c r="A276" s="30"/>
      <c r="B276" s="33" t="str">
        <f>IF(A276="","",IFERROR(INDEX(품목마스터!$B$2:$B$300,MATCH(A276,품목마스터!$A$2:$A$300,0)),"※미등록"))</f>
        <v/>
      </c>
      <c r="C276" s="30"/>
      <c r="D276" s="33" t="str">
        <f>IF(C276="","",IFERROR(INDEX(협력사마스터!$B$2:$B$300,MATCH(C276,협력사마스터!$A$2:$A$300,0)),"※미등록"))</f>
        <v/>
      </c>
      <c r="E276" s="32"/>
      <c r="F276" s="33" t="str">
        <f>IF(E276="","",IFERROR(INDEX(담당자마스터!$B$2:$B$300,MATCH(E276,담당자마스터!$A$2:$A$300,0)),"※미등록"))</f>
        <v/>
      </c>
      <c r="G276" s="31"/>
      <c r="H276" s="32"/>
      <c r="I276" s="32"/>
      <c r="J276" s="32"/>
      <c r="K276" s="32"/>
      <c r="L276" s="32"/>
      <c r="M276" s="32"/>
    </row>
    <row r="277" spans="1:13" ht="15" customHeight="1">
      <c r="A277" s="30"/>
      <c r="B277" s="33" t="str">
        <f>IF(A277="","",IFERROR(INDEX(품목마스터!$B$2:$B$300,MATCH(A277,품목마스터!$A$2:$A$300,0)),"※미등록"))</f>
        <v/>
      </c>
      <c r="C277" s="30"/>
      <c r="D277" s="33" t="str">
        <f>IF(C277="","",IFERROR(INDEX(협력사마스터!$B$2:$B$300,MATCH(C277,협력사마스터!$A$2:$A$300,0)),"※미등록"))</f>
        <v/>
      </c>
      <c r="E277" s="32"/>
      <c r="F277" s="33" t="str">
        <f>IF(E277="","",IFERROR(INDEX(담당자마스터!$B$2:$B$300,MATCH(E277,담당자마스터!$A$2:$A$300,0)),"※미등록"))</f>
        <v/>
      </c>
      <c r="G277" s="31"/>
      <c r="H277" s="32"/>
      <c r="I277" s="32"/>
      <c r="J277" s="32"/>
      <c r="K277" s="32"/>
      <c r="L277" s="32"/>
      <c r="M277" s="32"/>
    </row>
    <row r="278" spans="1:13" ht="15" customHeight="1">
      <c r="A278" s="30"/>
      <c r="B278" s="33" t="str">
        <f>IF(A278="","",IFERROR(INDEX(품목마스터!$B$2:$B$300,MATCH(A278,품목마스터!$A$2:$A$300,0)),"※미등록"))</f>
        <v/>
      </c>
      <c r="C278" s="30"/>
      <c r="D278" s="33" t="str">
        <f>IF(C278="","",IFERROR(INDEX(협력사마스터!$B$2:$B$300,MATCH(C278,협력사마스터!$A$2:$A$300,0)),"※미등록"))</f>
        <v/>
      </c>
      <c r="E278" s="32"/>
      <c r="F278" s="33" t="str">
        <f>IF(E278="","",IFERROR(INDEX(담당자마스터!$B$2:$B$300,MATCH(E278,담당자마스터!$A$2:$A$300,0)),"※미등록"))</f>
        <v/>
      </c>
      <c r="G278" s="31"/>
      <c r="H278" s="32"/>
      <c r="I278" s="32"/>
      <c r="J278" s="32"/>
      <c r="K278" s="32"/>
      <c r="L278" s="32"/>
      <c r="M278" s="32"/>
    </row>
    <row r="279" spans="1:13" ht="15" customHeight="1">
      <c r="A279" s="30"/>
      <c r="B279" s="33" t="str">
        <f>IF(A279="","",IFERROR(INDEX(품목마스터!$B$2:$B$300,MATCH(A279,품목마스터!$A$2:$A$300,0)),"※미등록"))</f>
        <v/>
      </c>
      <c r="C279" s="30"/>
      <c r="D279" s="33" t="str">
        <f>IF(C279="","",IFERROR(INDEX(협력사마스터!$B$2:$B$300,MATCH(C279,협력사마스터!$A$2:$A$300,0)),"※미등록"))</f>
        <v/>
      </c>
      <c r="E279" s="32"/>
      <c r="F279" s="33" t="str">
        <f>IF(E279="","",IFERROR(INDEX(담당자마스터!$B$2:$B$300,MATCH(E279,담당자마스터!$A$2:$A$300,0)),"※미등록"))</f>
        <v/>
      </c>
      <c r="G279" s="31"/>
      <c r="H279" s="32"/>
      <c r="I279" s="32"/>
      <c r="J279" s="32"/>
      <c r="K279" s="32"/>
      <c r="L279" s="32"/>
      <c r="M279" s="32"/>
    </row>
    <row r="280" spans="1:13" ht="15" customHeight="1">
      <c r="A280" s="30"/>
      <c r="B280" s="33" t="str">
        <f>IF(A280="","",IFERROR(INDEX(품목마스터!$B$2:$B$300,MATCH(A280,품목마스터!$A$2:$A$300,0)),"※미등록"))</f>
        <v/>
      </c>
      <c r="C280" s="30"/>
      <c r="D280" s="33" t="str">
        <f>IF(C280="","",IFERROR(INDEX(협력사마스터!$B$2:$B$300,MATCH(C280,협력사마스터!$A$2:$A$300,0)),"※미등록"))</f>
        <v/>
      </c>
      <c r="E280" s="32"/>
      <c r="F280" s="33" t="str">
        <f>IF(E280="","",IFERROR(INDEX(담당자마스터!$B$2:$B$300,MATCH(E280,담당자마스터!$A$2:$A$300,0)),"※미등록"))</f>
        <v/>
      </c>
      <c r="G280" s="31"/>
      <c r="H280" s="32"/>
      <c r="I280" s="32"/>
      <c r="J280" s="32"/>
      <c r="K280" s="32"/>
      <c r="L280" s="32"/>
      <c r="M280" s="32"/>
    </row>
    <row r="281" spans="1:13" ht="15" customHeight="1">
      <c r="A281" s="30"/>
      <c r="B281" s="33" t="str">
        <f>IF(A281="","",IFERROR(INDEX(품목마스터!$B$2:$B$300,MATCH(A281,품목마스터!$A$2:$A$300,0)),"※미등록"))</f>
        <v/>
      </c>
      <c r="C281" s="30"/>
      <c r="D281" s="33" t="str">
        <f>IF(C281="","",IFERROR(INDEX(협력사마스터!$B$2:$B$300,MATCH(C281,협력사마스터!$A$2:$A$300,0)),"※미등록"))</f>
        <v/>
      </c>
      <c r="E281" s="32"/>
      <c r="F281" s="33" t="str">
        <f>IF(E281="","",IFERROR(INDEX(담당자마스터!$B$2:$B$300,MATCH(E281,담당자마스터!$A$2:$A$300,0)),"※미등록"))</f>
        <v/>
      </c>
      <c r="G281" s="31"/>
      <c r="H281" s="32"/>
      <c r="I281" s="32"/>
      <c r="J281" s="32"/>
      <c r="K281" s="32"/>
      <c r="L281" s="32"/>
      <c r="M281" s="32"/>
    </row>
    <row r="282" spans="1:13" ht="15" customHeight="1">
      <c r="A282" s="30"/>
      <c r="B282" s="33" t="str">
        <f>IF(A282="","",IFERROR(INDEX(품목마스터!$B$2:$B$300,MATCH(A282,품목마스터!$A$2:$A$300,0)),"※미등록"))</f>
        <v/>
      </c>
      <c r="C282" s="30"/>
      <c r="D282" s="33" t="str">
        <f>IF(C282="","",IFERROR(INDEX(협력사마스터!$B$2:$B$300,MATCH(C282,협력사마스터!$A$2:$A$300,0)),"※미등록"))</f>
        <v/>
      </c>
      <c r="E282" s="32"/>
      <c r="F282" s="33" t="str">
        <f>IF(E282="","",IFERROR(INDEX(담당자마스터!$B$2:$B$300,MATCH(E282,담당자마스터!$A$2:$A$300,0)),"※미등록"))</f>
        <v/>
      </c>
      <c r="G282" s="31"/>
      <c r="H282" s="32"/>
      <c r="I282" s="32"/>
      <c r="J282" s="32"/>
      <c r="K282" s="32"/>
      <c r="L282" s="32"/>
      <c r="M282" s="32"/>
    </row>
    <row r="283" spans="1:13" ht="15" customHeight="1">
      <c r="A283" s="30"/>
      <c r="B283" s="33" t="str">
        <f>IF(A283="","",IFERROR(INDEX(품목마스터!$B$2:$B$300,MATCH(A283,품목마스터!$A$2:$A$300,0)),"※미등록"))</f>
        <v/>
      </c>
      <c r="C283" s="30"/>
      <c r="D283" s="33" t="str">
        <f>IF(C283="","",IFERROR(INDEX(협력사마스터!$B$2:$B$300,MATCH(C283,협력사마스터!$A$2:$A$300,0)),"※미등록"))</f>
        <v/>
      </c>
      <c r="E283" s="32"/>
      <c r="F283" s="33" t="str">
        <f>IF(E283="","",IFERROR(INDEX(담당자마스터!$B$2:$B$300,MATCH(E283,담당자마스터!$A$2:$A$300,0)),"※미등록"))</f>
        <v/>
      </c>
      <c r="G283" s="31"/>
      <c r="H283" s="32"/>
      <c r="I283" s="32"/>
      <c r="J283" s="32"/>
      <c r="K283" s="32"/>
      <c r="L283" s="32"/>
      <c r="M283" s="32"/>
    </row>
    <row r="284" spans="1:13" ht="15" customHeight="1">
      <c r="A284" s="30"/>
      <c r="B284" s="33" t="str">
        <f>IF(A284="","",IFERROR(INDEX(품목마스터!$B$2:$B$300,MATCH(A284,품목마스터!$A$2:$A$300,0)),"※미등록"))</f>
        <v/>
      </c>
      <c r="C284" s="30"/>
      <c r="D284" s="33" t="str">
        <f>IF(C284="","",IFERROR(INDEX(협력사마스터!$B$2:$B$300,MATCH(C284,협력사마스터!$A$2:$A$300,0)),"※미등록"))</f>
        <v/>
      </c>
      <c r="E284" s="32"/>
      <c r="F284" s="33" t="str">
        <f>IF(E284="","",IFERROR(INDEX(담당자마스터!$B$2:$B$300,MATCH(E284,담당자마스터!$A$2:$A$300,0)),"※미등록"))</f>
        <v/>
      </c>
      <c r="G284" s="31"/>
      <c r="H284" s="32"/>
      <c r="I284" s="32"/>
      <c r="J284" s="32"/>
      <c r="K284" s="32"/>
      <c r="L284" s="32"/>
      <c r="M284" s="32"/>
    </row>
    <row r="285" spans="1:13" ht="15" customHeight="1">
      <c r="A285" s="30"/>
      <c r="B285" s="33" t="str">
        <f>IF(A285="","",IFERROR(INDEX(품목마스터!$B$2:$B$300,MATCH(A285,품목마스터!$A$2:$A$300,0)),"※미등록"))</f>
        <v/>
      </c>
      <c r="C285" s="30"/>
      <c r="D285" s="33" t="str">
        <f>IF(C285="","",IFERROR(INDEX(협력사마스터!$B$2:$B$300,MATCH(C285,협력사마스터!$A$2:$A$300,0)),"※미등록"))</f>
        <v/>
      </c>
      <c r="E285" s="32"/>
      <c r="F285" s="33" t="str">
        <f>IF(E285="","",IFERROR(INDEX(담당자마스터!$B$2:$B$300,MATCH(E285,담당자마스터!$A$2:$A$300,0)),"※미등록"))</f>
        <v/>
      </c>
      <c r="G285" s="31"/>
      <c r="H285" s="32"/>
      <c r="I285" s="32"/>
      <c r="J285" s="32"/>
      <c r="K285" s="32"/>
      <c r="L285" s="32"/>
      <c r="M285" s="32"/>
    </row>
    <row r="286" spans="1:13" ht="15" customHeight="1">
      <c r="A286" s="30"/>
      <c r="B286" s="33" t="str">
        <f>IF(A286="","",IFERROR(INDEX(품목마스터!$B$2:$B$300,MATCH(A286,품목마스터!$A$2:$A$300,0)),"※미등록"))</f>
        <v/>
      </c>
      <c r="C286" s="30"/>
      <c r="D286" s="33" t="str">
        <f>IF(C286="","",IFERROR(INDEX(협력사마스터!$B$2:$B$300,MATCH(C286,협력사마스터!$A$2:$A$300,0)),"※미등록"))</f>
        <v/>
      </c>
      <c r="E286" s="32"/>
      <c r="F286" s="33" t="str">
        <f>IF(E286="","",IFERROR(INDEX(담당자마스터!$B$2:$B$300,MATCH(E286,담당자마스터!$A$2:$A$300,0)),"※미등록"))</f>
        <v/>
      </c>
      <c r="G286" s="31"/>
      <c r="H286" s="32"/>
      <c r="I286" s="32"/>
      <c r="J286" s="32"/>
      <c r="K286" s="32"/>
      <c r="L286" s="32"/>
      <c r="M286" s="32"/>
    </row>
    <row r="287" spans="1:13" ht="15" customHeight="1">
      <c r="A287" s="30"/>
      <c r="B287" s="33" t="str">
        <f>IF(A287="","",IFERROR(INDEX(품목마스터!$B$2:$B$300,MATCH(A287,품목마스터!$A$2:$A$300,0)),"※미등록"))</f>
        <v/>
      </c>
      <c r="C287" s="30"/>
      <c r="D287" s="33" t="str">
        <f>IF(C287="","",IFERROR(INDEX(협력사마스터!$B$2:$B$300,MATCH(C287,협력사마스터!$A$2:$A$300,0)),"※미등록"))</f>
        <v/>
      </c>
      <c r="E287" s="32"/>
      <c r="F287" s="33" t="str">
        <f>IF(E287="","",IFERROR(INDEX(담당자마스터!$B$2:$B$300,MATCH(E287,담당자마스터!$A$2:$A$300,0)),"※미등록"))</f>
        <v/>
      </c>
      <c r="G287" s="31"/>
      <c r="H287" s="32"/>
      <c r="I287" s="32"/>
      <c r="J287" s="32"/>
      <c r="K287" s="32"/>
      <c r="L287" s="32"/>
      <c r="M287" s="32"/>
    </row>
    <row r="288" spans="1:13" ht="15" customHeight="1">
      <c r="A288" s="30"/>
      <c r="B288" s="33" t="str">
        <f>IF(A288="","",IFERROR(INDEX(품목마스터!$B$2:$B$300,MATCH(A288,품목마스터!$A$2:$A$300,0)),"※미등록"))</f>
        <v/>
      </c>
      <c r="C288" s="30"/>
      <c r="D288" s="33" t="str">
        <f>IF(C288="","",IFERROR(INDEX(협력사마스터!$B$2:$B$300,MATCH(C288,협력사마스터!$A$2:$A$300,0)),"※미등록"))</f>
        <v/>
      </c>
      <c r="E288" s="32"/>
      <c r="F288" s="33" t="str">
        <f>IF(E288="","",IFERROR(INDEX(담당자마스터!$B$2:$B$300,MATCH(E288,담당자마스터!$A$2:$A$300,0)),"※미등록"))</f>
        <v/>
      </c>
      <c r="G288" s="31"/>
      <c r="H288" s="32"/>
      <c r="I288" s="32"/>
      <c r="J288" s="32"/>
      <c r="K288" s="32"/>
      <c r="L288" s="32"/>
      <c r="M288" s="32"/>
    </row>
    <row r="289" spans="1:13" ht="15" customHeight="1">
      <c r="A289" s="30"/>
      <c r="B289" s="33" t="str">
        <f>IF(A289="","",IFERROR(INDEX(품목마스터!$B$2:$B$300,MATCH(A289,품목마스터!$A$2:$A$300,0)),"※미등록"))</f>
        <v/>
      </c>
      <c r="C289" s="30"/>
      <c r="D289" s="33" t="str">
        <f>IF(C289="","",IFERROR(INDEX(협력사마스터!$B$2:$B$300,MATCH(C289,협력사마스터!$A$2:$A$300,0)),"※미등록"))</f>
        <v/>
      </c>
      <c r="E289" s="32"/>
      <c r="F289" s="33" t="str">
        <f>IF(E289="","",IFERROR(INDEX(담당자마스터!$B$2:$B$300,MATCH(E289,담당자마스터!$A$2:$A$300,0)),"※미등록"))</f>
        <v/>
      </c>
      <c r="G289" s="31"/>
      <c r="H289" s="32"/>
      <c r="I289" s="32"/>
      <c r="J289" s="32"/>
      <c r="K289" s="32"/>
      <c r="L289" s="32"/>
      <c r="M289" s="32"/>
    </row>
    <row r="290" spans="1:13" ht="15" customHeight="1">
      <c r="A290" s="30"/>
      <c r="B290" s="33" t="str">
        <f>IF(A290="","",IFERROR(INDEX(품목마스터!$B$2:$B$300,MATCH(A290,품목마스터!$A$2:$A$300,0)),"※미등록"))</f>
        <v/>
      </c>
      <c r="C290" s="30"/>
      <c r="D290" s="33" t="str">
        <f>IF(C290="","",IFERROR(INDEX(협력사마스터!$B$2:$B$300,MATCH(C290,협력사마스터!$A$2:$A$300,0)),"※미등록"))</f>
        <v/>
      </c>
      <c r="E290" s="32"/>
      <c r="F290" s="33" t="str">
        <f>IF(E290="","",IFERROR(INDEX(담당자마스터!$B$2:$B$300,MATCH(E290,담당자마스터!$A$2:$A$300,0)),"※미등록"))</f>
        <v/>
      </c>
      <c r="G290" s="31"/>
      <c r="H290" s="32"/>
      <c r="I290" s="32"/>
      <c r="J290" s="32"/>
      <c r="K290" s="32"/>
      <c r="L290" s="32"/>
      <c r="M290" s="32"/>
    </row>
    <row r="291" spans="1:13" ht="15" customHeight="1">
      <c r="A291" s="30"/>
      <c r="B291" s="33" t="str">
        <f>IF(A291="","",IFERROR(INDEX(품목마스터!$B$2:$B$300,MATCH(A291,품목마스터!$A$2:$A$300,0)),"※미등록"))</f>
        <v/>
      </c>
      <c r="C291" s="30"/>
      <c r="D291" s="33" t="str">
        <f>IF(C291="","",IFERROR(INDEX(협력사마스터!$B$2:$B$300,MATCH(C291,협력사마스터!$A$2:$A$300,0)),"※미등록"))</f>
        <v/>
      </c>
      <c r="E291" s="32"/>
      <c r="F291" s="33" t="str">
        <f>IF(E291="","",IFERROR(INDEX(담당자마스터!$B$2:$B$300,MATCH(E291,담당자마스터!$A$2:$A$300,0)),"※미등록"))</f>
        <v/>
      </c>
      <c r="G291" s="31"/>
      <c r="H291" s="32"/>
      <c r="I291" s="32"/>
      <c r="J291" s="32"/>
      <c r="K291" s="32"/>
      <c r="L291" s="32"/>
      <c r="M291" s="32"/>
    </row>
    <row r="292" spans="1:13" ht="15" customHeight="1">
      <c r="A292" s="30"/>
      <c r="B292" s="33" t="str">
        <f>IF(A292="","",IFERROR(INDEX(품목마스터!$B$2:$B$300,MATCH(A292,품목마스터!$A$2:$A$300,0)),"※미등록"))</f>
        <v/>
      </c>
      <c r="C292" s="30"/>
      <c r="D292" s="33" t="str">
        <f>IF(C292="","",IFERROR(INDEX(협력사마스터!$B$2:$B$300,MATCH(C292,협력사마스터!$A$2:$A$300,0)),"※미등록"))</f>
        <v/>
      </c>
      <c r="E292" s="32"/>
      <c r="F292" s="33" t="str">
        <f>IF(E292="","",IFERROR(INDEX(담당자마스터!$B$2:$B$300,MATCH(E292,담당자마스터!$A$2:$A$300,0)),"※미등록"))</f>
        <v/>
      </c>
      <c r="G292" s="31"/>
      <c r="H292" s="32"/>
      <c r="I292" s="32"/>
      <c r="J292" s="32"/>
      <c r="K292" s="32"/>
      <c r="L292" s="32"/>
      <c r="M292" s="32"/>
    </row>
    <row r="293" spans="1:13" ht="15" customHeight="1">
      <c r="A293" s="30"/>
      <c r="B293" s="33" t="str">
        <f>IF(A293="","",IFERROR(INDEX(품목마스터!$B$2:$B$300,MATCH(A293,품목마스터!$A$2:$A$300,0)),"※미등록"))</f>
        <v/>
      </c>
      <c r="C293" s="30"/>
      <c r="D293" s="33" t="str">
        <f>IF(C293="","",IFERROR(INDEX(협력사마스터!$B$2:$B$300,MATCH(C293,협력사마스터!$A$2:$A$300,0)),"※미등록"))</f>
        <v/>
      </c>
      <c r="E293" s="32"/>
      <c r="F293" s="33" t="str">
        <f>IF(E293="","",IFERROR(INDEX(담당자마스터!$B$2:$B$300,MATCH(E293,담당자마스터!$A$2:$A$300,0)),"※미등록"))</f>
        <v/>
      </c>
      <c r="G293" s="31"/>
      <c r="H293" s="32"/>
      <c r="I293" s="32"/>
      <c r="J293" s="32"/>
      <c r="K293" s="32"/>
      <c r="L293" s="32"/>
      <c r="M293" s="32"/>
    </row>
    <row r="294" spans="1:13" ht="15" customHeight="1">
      <c r="A294" s="30"/>
      <c r="B294" s="33" t="str">
        <f>IF(A294="","",IFERROR(INDEX(품목마스터!$B$2:$B$300,MATCH(A294,품목마스터!$A$2:$A$300,0)),"※미등록"))</f>
        <v/>
      </c>
      <c r="C294" s="30"/>
      <c r="D294" s="33" t="str">
        <f>IF(C294="","",IFERROR(INDEX(협력사마스터!$B$2:$B$300,MATCH(C294,협력사마스터!$A$2:$A$300,0)),"※미등록"))</f>
        <v/>
      </c>
      <c r="E294" s="32"/>
      <c r="F294" s="33" t="str">
        <f>IF(E294="","",IFERROR(INDEX(담당자마스터!$B$2:$B$300,MATCH(E294,담당자마스터!$A$2:$A$300,0)),"※미등록"))</f>
        <v/>
      </c>
      <c r="G294" s="31"/>
      <c r="H294" s="32"/>
      <c r="I294" s="32"/>
      <c r="J294" s="32"/>
      <c r="K294" s="32"/>
      <c r="L294" s="32"/>
      <c r="M294" s="32"/>
    </row>
    <row r="295" spans="1:13" ht="15" customHeight="1">
      <c r="A295" s="30"/>
      <c r="B295" s="33" t="str">
        <f>IF(A295="","",IFERROR(INDEX(품목마스터!$B$2:$B$300,MATCH(A295,품목마스터!$A$2:$A$300,0)),"※미등록"))</f>
        <v/>
      </c>
      <c r="C295" s="30"/>
      <c r="D295" s="33" t="str">
        <f>IF(C295="","",IFERROR(INDEX(협력사마스터!$B$2:$B$300,MATCH(C295,협력사마스터!$A$2:$A$300,0)),"※미등록"))</f>
        <v/>
      </c>
      <c r="E295" s="32"/>
      <c r="F295" s="33" t="str">
        <f>IF(E295="","",IFERROR(INDEX(담당자마스터!$B$2:$B$300,MATCH(E295,담당자마스터!$A$2:$A$300,0)),"※미등록"))</f>
        <v/>
      </c>
      <c r="G295" s="31"/>
      <c r="H295" s="32"/>
      <c r="I295" s="32"/>
      <c r="J295" s="32"/>
      <c r="K295" s="32"/>
      <c r="L295" s="32"/>
      <c r="M295" s="32"/>
    </row>
    <row r="296" spans="1:13" ht="15" customHeight="1">
      <c r="A296" s="30"/>
      <c r="B296" s="33" t="str">
        <f>IF(A296="","",IFERROR(INDEX(품목마스터!$B$2:$B$300,MATCH(A296,품목마스터!$A$2:$A$300,0)),"※미등록"))</f>
        <v/>
      </c>
      <c r="C296" s="30"/>
      <c r="D296" s="33" t="str">
        <f>IF(C296="","",IFERROR(INDEX(협력사마스터!$B$2:$B$300,MATCH(C296,협력사마스터!$A$2:$A$300,0)),"※미등록"))</f>
        <v/>
      </c>
      <c r="E296" s="32"/>
      <c r="F296" s="33" t="str">
        <f>IF(E296="","",IFERROR(INDEX(담당자마스터!$B$2:$B$300,MATCH(E296,담당자마스터!$A$2:$A$300,0)),"※미등록"))</f>
        <v/>
      </c>
      <c r="G296" s="31"/>
      <c r="H296" s="32"/>
      <c r="I296" s="32"/>
      <c r="J296" s="32"/>
      <c r="K296" s="32"/>
      <c r="L296" s="32"/>
      <c r="M296" s="32"/>
    </row>
    <row r="297" spans="1:13" ht="15" customHeight="1">
      <c r="A297" s="30"/>
      <c r="B297" s="33" t="str">
        <f>IF(A297="","",IFERROR(INDEX(품목마스터!$B$2:$B$300,MATCH(A297,품목마스터!$A$2:$A$300,0)),"※미등록"))</f>
        <v/>
      </c>
      <c r="C297" s="30"/>
      <c r="D297" s="33" t="str">
        <f>IF(C297="","",IFERROR(INDEX(협력사마스터!$B$2:$B$300,MATCH(C297,협력사마스터!$A$2:$A$300,0)),"※미등록"))</f>
        <v/>
      </c>
      <c r="E297" s="32"/>
      <c r="F297" s="33" t="str">
        <f>IF(E297="","",IFERROR(INDEX(담당자마스터!$B$2:$B$300,MATCH(E297,담당자마스터!$A$2:$A$300,0)),"※미등록"))</f>
        <v/>
      </c>
      <c r="G297" s="31"/>
      <c r="H297" s="32"/>
      <c r="I297" s="32"/>
      <c r="J297" s="32"/>
      <c r="K297" s="32"/>
      <c r="L297" s="32"/>
      <c r="M297" s="32"/>
    </row>
    <row r="298" spans="1:13" ht="15" customHeight="1">
      <c r="A298" s="30"/>
      <c r="B298" s="33" t="str">
        <f>IF(A298="","",IFERROR(INDEX(품목마스터!$B$2:$B$300,MATCH(A298,품목마스터!$A$2:$A$300,0)),"※미등록"))</f>
        <v/>
      </c>
      <c r="C298" s="30"/>
      <c r="D298" s="33" t="str">
        <f>IF(C298="","",IFERROR(INDEX(협력사마스터!$B$2:$B$300,MATCH(C298,협력사마스터!$A$2:$A$300,0)),"※미등록"))</f>
        <v/>
      </c>
      <c r="E298" s="32"/>
      <c r="F298" s="33" t="str">
        <f>IF(E298="","",IFERROR(INDEX(담당자마스터!$B$2:$B$300,MATCH(E298,담당자마스터!$A$2:$A$300,0)),"※미등록"))</f>
        <v/>
      </c>
      <c r="G298" s="31"/>
      <c r="H298" s="32"/>
      <c r="I298" s="32"/>
      <c r="J298" s="32"/>
      <c r="K298" s="32"/>
      <c r="L298" s="32"/>
      <c r="M298" s="32"/>
    </row>
    <row r="299" spans="1:13" ht="15" customHeight="1">
      <c r="A299" s="30"/>
      <c r="B299" s="33" t="str">
        <f>IF(A299="","",IFERROR(INDEX(품목마스터!$B$2:$B$300,MATCH(A299,품목마스터!$A$2:$A$300,0)),"※미등록"))</f>
        <v/>
      </c>
      <c r="C299" s="30"/>
      <c r="D299" s="33" t="str">
        <f>IF(C299="","",IFERROR(INDEX(협력사마스터!$B$2:$B$300,MATCH(C299,협력사마스터!$A$2:$A$300,0)),"※미등록"))</f>
        <v/>
      </c>
      <c r="E299" s="32"/>
      <c r="F299" s="33" t="str">
        <f>IF(E299="","",IFERROR(INDEX(담당자마스터!$B$2:$B$300,MATCH(E299,담당자마스터!$A$2:$A$300,0)),"※미등록"))</f>
        <v/>
      </c>
      <c r="G299" s="31"/>
      <c r="H299" s="32"/>
      <c r="I299" s="32"/>
      <c r="J299" s="32"/>
      <c r="K299" s="32"/>
      <c r="L299" s="32"/>
      <c r="M299" s="32"/>
    </row>
    <row r="300" spans="1:13" ht="15" customHeight="1">
      <c r="A300" s="30"/>
      <c r="B300" s="33" t="str">
        <f>IF(A300="","",IFERROR(INDEX(품목마스터!$B$2:$B$300,MATCH(A300,품목마스터!$A$2:$A$300,0)),"※미등록"))</f>
        <v/>
      </c>
      <c r="C300" s="30"/>
      <c r="D300" s="33" t="str">
        <f>IF(C300="","",IFERROR(INDEX(협력사마스터!$B$2:$B$300,MATCH(C300,협력사마스터!$A$2:$A$300,0)),"※미등록"))</f>
        <v/>
      </c>
      <c r="E300" s="32"/>
      <c r="F300" s="33" t="str">
        <f>IF(E300="","",IFERROR(INDEX(담당자마스터!$B$2:$B$300,MATCH(E300,담당자마스터!$A$2:$A$300,0)),"※미등록"))</f>
        <v/>
      </c>
      <c r="G300" s="31"/>
      <c r="H300" s="32"/>
      <c r="I300" s="32"/>
      <c r="J300" s="32"/>
      <c r="K300" s="32"/>
      <c r="L300" s="32"/>
      <c r="M300" s="32"/>
    </row>
  </sheetData>
  <autoFilter ref="A1:M300" xr:uid="{00000000-0009-0000-0000-000006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입력 오류" error="코드표에 등록된 값만 입력할 수 있습니다." xr:uid="{00000000-0002-0000-0600-000000000000}">
          <x14:formula1>
            <xm:f>코드표!$D$2:$D$6</xm:f>
          </x14:formula1>
          <x14:formula2>
            <xm:f>0</xm:f>
          </x14:formula2>
          <xm:sqref>G2:G300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0" customWidth="1"/>
    <col min="3" max="3" width="30" customWidth="1"/>
    <col min="4" max="4" width="11" customWidth="1"/>
    <col min="5" max="6" width="10" customWidth="1"/>
    <col min="7" max="7" width="8" customWidth="1"/>
    <col min="8" max="9" width="11" customWidth="1"/>
    <col min="10" max="10" width="9" customWidth="1"/>
    <col min="11" max="11" width="30" customWidth="1"/>
    <col min="12" max="12" width="24" customWidth="1"/>
    <col min="13" max="13" width="12" customWidth="1"/>
    <col min="14" max="14" width="20" customWidth="1"/>
  </cols>
  <sheetData>
    <row r="1" spans="1:14" ht="30" customHeight="1">
      <c r="A1" s="28" t="s">
        <v>175</v>
      </c>
      <c r="B1" s="28" t="s">
        <v>196</v>
      </c>
      <c r="C1" s="28" t="s">
        <v>197</v>
      </c>
      <c r="D1" s="28" t="s">
        <v>353</v>
      </c>
      <c r="E1" s="28" t="s">
        <v>403</v>
      </c>
      <c r="F1" s="28" t="s">
        <v>404</v>
      </c>
      <c r="G1" s="28" t="s">
        <v>405</v>
      </c>
      <c r="H1" s="28" t="s">
        <v>406</v>
      </c>
      <c r="I1" s="28" t="s">
        <v>407</v>
      </c>
      <c r="J1" s="28" t="s">
        <v>408</v>
      </c>
      <c r="K1" s="28" t="s">
        <v>409</v>
      </c>
      <c r="L1" s="28" t="s">
        <v>410</v>
      </c>
      <c r="M1" s="28" t="s">
        <v>411</v>
      </c>
      <c r="N1" s="28" t="s">
        <v>183</v>
      </c>
    </row>
    <row r="2" spans="1:14" ht="15" customHeight="1">
      <c r="A2" s="30" t="s">
        <v>184</v>
      </c>
      <c r="B2" s="30" t="s">
        <v>215</v>
      </c>
      <c r="C2" s="33" t="str">
        <f>IF(B2="","",IFERROR(INDEX(품목마스터!$B$2:$B$300,MATCH(B2,품목마스터!$A$2:$A$300,0)),"※미등록"))</f>
        <v>커버1 (상판)</v>
      </c>
      <c r="D2" s="32" t="s">
        <v>361</v>
      </c>
      <c r="E2" s="33" t="str">
        <f>IF(D2="","",IFERROR(INDEX(담당자마스터!$B$2:$B$300,MATCH(D2,담당자마스터!$A$2:$A$300,0)),"※미등록"))</f>
        <v>이OO</v>
      </c>
      <c r="F2" s="32" t="s">
        <v>18</v>
      </c>
      <c r="G2" s="34">
        <v>0.8</v>
      </c>
      <c r="H2" s="32" t="s">
        <v>412</v>
      </c>
      <c r="I2" s="32" t="s">
        <v>413</v>
      </c>
      <c r="J2" s="31" t="s">
        <v>414</v>
      </c>
      <c r="K2" s="32"/>
      <c r="L2" s="32" t="s">
        <v>415</v>
      </c>
      <c r="M2" s="32" t="s">
        <v>416</v>
      </c>
      <c r="N2" s="31" t="s">
        <v>417</v>
      </c>
    </row>
    <row r="3" spans="1:14" ht="15" customHeight="1">
      <c r="A3" s="30" t="s">
        <v>184</v>
      </c>
      <c r="B3" s="30" t="s">
        <v>220</v>
      </c>
      <c r="C3" s="33" t="str">
        <f>IF(B3="","",IFERROR(INDEX(품목마스터!$B$2:$B$300,MATCH(B3,품목마스터!$A$2:$A$300,0)),"※미등록"))</f>
        <v>커버2 (하판)</v>
      </c>
      <c r="D3" s="32" t="s">
        <v>361</v>
      </c>
      <c r="E3" s="33" t="str">
        <f>IF(D3="","",IFERROR(INDEX(담당자마스터!$B$2:$B$300,MATCH(D3,담당자마스터!$A$2:$A$300,0)),"※미등록"))</f>
        <v>이OO</v>
      </c>
      <c r="F3" s="32" t="s">
        <v>18</v>
      </c>
      <c r="G3" s="34">
        <v>0.8</v>
      </c>
      <c r="H3" s="32" t="s">
        <v>412</v>
      </c>
      <c r="I3" s="32" t="s">
        <v>413</v>
      </c>
      <c r="J3" s="31" t="s">
        <v>414</v>
      </c>
      <c r="K3" s="32"/>
      <c r="L3" s="32"/>
      <c r="M3" s="32" t="s">
        <v>416</v>
      </c>
      <c r="N3" s="31" t="s">
        <v>417</v>
      </c>
    </row>
    <row r="4" spans="1:14" ht="15" customHeight="1">
      <c r="A4" s="30" t="s">
        <v>184</v>
      </c>
      <c r="B4" s="30" t="s">
        <v>225</v>
      </c>
      <c r="C4" s="33" t="str">
        <f>IF(B4="","",IFERROR(INDEX(품목마스터!$B$2:$B$300,MATCH(B4,품목마스터!$A$2:$A$300,0)),"※미등록"))</f>
        <v>폼</v>
      </c>
      <c r="D4" s="32" t="s">
        <v>361</v>
      </c>
      <c r="E4" s="33" t="str">
        <f>IF(D4="","",IFERROR(INDEX(담당자마스터!$B$2:$B$300,MATCH(D4,담당자마스터!$A$2:$A$300,0)),"※미등록"))</f>
        <v>이OO</v>
      </c>
      <c r="F4" s="32" t="s">
        <v>15</v>
      </c>
      <c r="G4" s="34">
        <v>0.4</v>
      </c>
      <c r="H4" s="32" t="s">
        <v>418</v>
      </c>
      <c r="I4" s="32" t="s">
        <v>419</v>
      </c>
      <c r="J4" s="31" t="s">
        <v>420</v>
      </c>
      <c r="K4" s="31" t="s">
        <v>421</v>
      </c>
      <c r="L4" s="32" t="s">
        <v>422</v>
      </c>
      <c r="M4" s="32" t="s">
        <v>416</v>
      </c>
      <c r="N4" s="31" t="s">
        <v>417</v>
      </c>
    </row>
    <row r="5" spans="1:14" ht="15" customHeight="1">
      <c r="A5" s="30" t="s">
        <v>184</v>
      </c>
      <c r="B5" s="30" t="s">
        <v>228</v>
      </c>
      <c r="C5" s="33" t="str">
        <f>IF(B5="","",IFERROR(INDEX(품목마스터!$B$2:$B$300,MATCH(B5,품목마스터!$A$2:$A$300,0)),"※미등록"))</f>
        <v>로우라벨 (법정표시)</v>
      </c>
      <c r="D5" s="32" t="s">
        <v>361</v>
      </c>
      <c r="E5" s="33" t="str">
        <f>IF(D5="","",IFERROR(INDEX(담당자마스터!$B$2:$B$300,MATCH(D5,담당자마스터!$A$2:$A$300,0)),"※미등록"))</f>
        <v>이OO</v>
      </c>
      <c r="F5" s="32" t="s">
        <v>21</v>
      </c>
      <c r="G5" s="34">
        <v>0.9</v>
      </c>
      <c r="H5" s="32" t="s">
        <v>423</v>
      </c>
      <c r="I5" s="32" t="s">
        <v>424</v>
      </c>
      <c r="J5" s="31" t="s">
        <v>414</v>
      </c>
      <c r="K5" s="32"/>
      <c r="L5" s="31" t="s">
        <v>425</v>
      </c>
      <c r="M5" s="32" t="s">
        <v>416</v>
      </c>
      <c r="N5" s="31" t="s">
        <v>417</v>
      </c>
    </row>
    <row r="6" spans="1:14" ht="15" customHeight="1">
      <c r="A6" s="30" t="s">
        <v>184</v>
      </c>
      <c r="B6" s="30" t="s">
        <v>232</v>
      </c>
      <c r="C6" s="33" t="str">
        <f>IF(B6="","",IFERROR(INDEX(품목마스터!$B$2:$B$300,MATCH(B6,품목마스터!$A$2:$A$300,0)),"※미등록"))</f>
        <v>로고라벨</v>
      </c>
      <c r="D6" s="32" t="s">
        <v>361</v>
      </c>
      <c r="E6" s="33" t="str">
        <f>IF(D6="","",IFERROR(INDEX(담당자마스터!$B$2:$B$300,MATCH(D6,담당자마스터!$A$2:$A$300,0)),"※미등록"))</f>
        <v>이OO</v>
      </c>
      <c r="F6" s="32" t="s">
        <v>426</v>
      </c>
      <c r="G6" s="34">
        <v>1</v>
      </c>
      <c r="H6" s="32" t="s">
        <v>427</v>
      </c>
      <c r="I6" s="32" t="s">
        <v>428</v>
      </c>
      <c r="J6" s="31" t="s">
        <v>429</v>
      </c>
      <c r="K6" s="32"/>
      <c r="L6" s="32" t="s">
        <v>113</v>
      </c>
      <c r="M6" s="32" t="s">
        <v>428</v>
      </c>
      <c r="N6" s="31" t="s">
        <v>417</v>
      </c>
    </row>
    <row r="7" spans="1:14" ht="15" customHeight="1">
      <c r="A7" s="30" t="s">
        <v>184</v>
      </c>
      <c r="B7" s="30" t="s">
        <v>238</v>
      </c>
      <c r="C7" s="33" t="str">
        <f>IF(B7="","",IFERROR(INDEX(품목마스터!$B$2:$B$300,MATCH(B7,품목마스터!$A$2:$A$300,0)),"※미등록"))</f>
        <v>컨트롤러 아세이 (윈도우커버라벨 포함)</v>
      </c>
      <c r="D7" s="32" t="s">
        <v>367</v>
      </c>
      <c r="E7" s="33" t="str">
        <f>IF(D7="","",IFERROR(INDEX(담당자마스터!$B$2:$B$300,MATCH(D7,담당자마스터!$A$2:$A$300,0)),"※미등록"))</f>
        <v>박OO</v>
      </c>
      <c r="F7" s="32" t="s">
        <v>15</v>
      </c>
      <c r="G7" s="34">
        <v>0.5</v>
      </c>
      <c r="H7" s="32" t="s">
        <v>427</v>
      </c>
      <c r="I7" s="32" t="s">
        <v>430</v>
      </c>
      <c r="J7" s="31" t="s">
        <v>431</v>
      </c>
      <c r="K7" s="31" t="s">
        <v>432</v>
      </c>
      <c r="L7" s="32" t="s">
        <v>433</v>
      </c>
      <c r="M7" s="32" t="s">
        <v>416</v>
      </c>
      <c r="N7" s="31" t="s">
        <v>417</v>
      </c>
    </row>
    <row r="8" spans="1:14" ht="15" customHeight="1">
      <c r="A8" s="30" t="s">
        <v>184</v>
      </c>
      <c r="B8" s="30" t="s">
        <v>243</v>
      </c>
      <c r="C8" s="33" t="str">
        <f>IF(B8="","",IFERROR(INDEX(품목마스터!$B$2:$B$300,MATCH(B8,품목마스터!$A$2:$A$300,0)),"※미등록"))</f>
        <v>어댑터</v>
      </c>
      <c r="D8" s="32" t="s">
        <v>367</v>
      </c>
      <c r="E8" s="33" t="str">
        <f>IF(D8="","",IFERROR(INDEX(담당자마스터!$B$2:$B$300,MATCH(D8,담당자마스터!$A$2:$A$300,0)),"※미등록"))</f>
        <v>박OO</v>
      </c>
      <c r="F8" s="32" t="s">
        <v>426</v>
      </c>
      <c r="G8" s="34">
        <v>1</v>
      </c>
      <c r="H8" s="32" t="s">
        <v>434</v>
      </c>
      <c r="I8" s="32" t="s">
        <v>399</v>
      </c>
      <c r="J8" s="31" t="s">
        <v>414</v>
      </c>
      <c r="K8" s="32"/>
      <c r="L8" s="32" t="s">
        <v>113</v>
      </c>
      <c r="M8" s="32" t="s">
        <v>399</v>
      </c>
      <c r="N8" s="31" t="s">
        <v>417</v>
      </c>
    </row>
    <row r="9" spans="1:14" ht="15" customHeight="1">
      <c r="A9" s="30" t="s">
        <v>184</v>
      </c>
      <c r="B9" s="30" t="s">
        <v>247</v>
      </c>
      <c r="C9" s="33" t="str">
        <f>IF(B9="","",IFERROR(INDEX(품목마스터!$B$2:$B$300,MATCH(B9,품목마스터!$A$2:$A$300,0)),"※미등록"))</f>
        <v>에어호스</v>
      </c>
      <c r="D9" s="32" t="s">
        <v>367</v>
      </c>
      <c r="E9" s="33" t="str">
        <f>IF(D9="","",IFERROR(INDEX(담당자마스터!$B$2:$B$300,MATCH(D9,담당자마스터!$A$2:$A$300,0)),"※미등록"))</f>
        <v>박OO</v>
      </c>
      <c r="F9" s="32" t="s">
        <v>426</v>
      </c>
      <c r="G9" s="34">
        <v>1</v>
      </c>
      <c r="H9" s="32" t="s">
        <v>434</v>
      </c>
      <c r="I9" s="32" t="s">
        <v>399</v>
      </c>
      <c r="J9" s="31" t="s">
        <v>414</v>
      </c>
      <c r="K9" s="32"/>
      <c r="L9" s="32" t="s">
        <v>113</v>
      </c>
      <c r="M9" s="32" t="s">
        <v>399</v>
      </c>
      <c r="N9" s="31" t="s">
        <v>417</v>
      </c>
    </row>
    <row r="10" spans="1:14" ht="15" customHeight="1">
      <c r="A10" s="30" t="s">
        <v>184</v>
      </c>
      <c r="B10" s="30" t="s">
        <v>251</v>
      </c>
      <c r="C10" s="33" t="str">
        <f>IF(B10="","",IFERROR(INDEX(품목마스터!$B$2:$B$300,MATCH(B10,품목마스터!$A$2:$A$300,0)),"※미등록"))</f>
        <v>매뉴얼</v>
      </c>
      <c r="D10" s="32" t="s">
        <v>367</v>
      </c>
      <c r="E10" s="33" t="str">
        <f>IF(D10="","",IFERROR(INDEX(담당자마스터!$B$2:$B$300,MATCH(D10,담당자마스터!$A$2:$A$300,0)),"※미등록"))</f>
        <v>박OO</v>
      </c>
      <c r="F10" s="31" t="s">
        <v>193</v>
      </c>
      <c r="G10" s="34">
        <v>0.2</v>
      </c>
      <c r="H10" s="32" t="s">
        <v>395</v>
      </c>
      <c r="I10" s="32" t="s">
        <v>435</v>
      </c>
      <c r="J10" s="31" t="s">
        <v>414</v>
      </c>
      <c r="K10" s="32"/>
      <c r="L10" s="31" t="s">
        <v>436</v>
      </c>
      <c r="M10" s="32" t="s">
        <v>416</v>
      </c>
      <c r="N10" s="31" t="s">
        <v>417</v>
      </c>
    </row>
    <row r="11" spans="1:14" ht="15" customHeight="1">
      <c r="A11" s="30" t="s">
        <v>184</v>
      </c>
      <c r="B11" s="30" t="s">
        <v>255</v>
      </c>
      <c r="C11" s="33" t="str">
        <f>IF(B11="","",IFERROR(INDEX(품목마스터!$B$2:$B$300,MATCH(B11,품목마스터!$A$2:$A$300,0)),"※미등록"))</f>
        <v>IoT Stick</v>
      </c>
      <c r="D11" s="32" t="s">
        <v>373</v>
      </c>
      <c r="E11" s="33" t="str">
        <f>IF(D11="","",IFERROR(INDEX(담당자마스터!$B$2:$B$300,MATCH(D11,담당자마스터!$A$2:$A$300,0)),"※미등록"))</f>
        <v>최OO</v>
      </c>
      <c r="F11" s="32" t="s">
        <v>18</v>
      </c>
      <c r="G11" s="34">
        <v>0.6</v>
      </c>
      <c r="H11" s="32" t="s">
        <v>427</v>
      </c>
      <c r="I11" s="32" t="s">
        <v>435</v>
      </c>
      <c r="J11" s="31" t="s">
        <v>420</v>
      </c>
      <c r="K11" s="32" t="s">
        <v>437</v>
      </c>
      <c r="L11" s="32" t="s">
        <v>438</v>
      </c>
      <c r="M11" s="32" t="s">
        <v>416</v>
      </c>
      <c r="N11" s="31" t="s">
        <v>417</v>
      </c>
    </row>
    <row r="12" spans="1:14" ht="15" customHeight="1">
      <c r="A12" s="30" t="s">
        <v>184</v>
      </c>
      <c r="B12" s="30" t="s">
        <v>260</v>
      </c>
      <c r="C12" s="33" t="str">
        <f>IF(B12="","",IFERROR(INDEX(품목마스터!$B$2:$B$300,MATCH(B12,품목마스터!$A$2:$A$300,0)),"※미등록"))</f>
        <v>컨트롤러 포장박스</v>
      </c>
      <c r="D12" s="32" t="s">
        <v>379</v>
      </c>
      <c r="E12" s="33" t="str">
        <f>IF(D12="","",IFERROR(INDEX(담당자마스터!$B$2:$B$300,MATCH(D12,담당자마스터!$A$2:$A$300,0)),"※미등록"))</f>
        <v>정OO</v>
      </c>
      <c r="F12" s="32" t="s">
        <v>21</v>
      </c>
      <c r="G12" s="34">
        <v>0.9</v>
      </c>
      <c r="H12" s="32" t="s">
        <v>418</v>
      </c>
      <c r="I12" s="32" t="s">
        <v>439</v>
      </c>
      <c r="J12" s="31" t="s">
        <v>414</v>
      </c>
      <c r="K12" s="32"/>
      <c r="L12" s="32"/>
      <c r="M12" s="32" t="s">
        <v>416</v>
      </c>
      <c r="N12" s="31" t="s">
        <v>417</v>
      </c>
    </row>
    <row r="13" spans="1:14" ht="15" customHeight="1">
      <c r="A13" s="30" t="s">
        <v>184</v>
      </c>
      <c r="B13" s="30" t="s">
        <v>267</v>
      </c>
      <c r="C13" s="33" t="str">
        <f>IF(B13="","",IFERROR(INDEX(품목마스터!$B$2:$B$300,MATCH(B13,품목마스터!$A$2:$A$300,0)),"※미등록"))</f>
        <v>포장방식 A</v>
      </c>
      <c r="D13" s="32" t="s">
        <v>379</v>
      </c>
      <c r="E13" s="33" t="str">
        <f>IF(D13="","",IFERROR(INDEX(담당자마스터!$B$2:$B$300,MATCH(D13,담당자마스터!$A$2:$A$300,0)),"※미등록"))</f>
        <v>정OO</v>
      </c>
      <c r="F13" s="32" t="s">
        <v>18</v>
      </c>
      <c r="G13" s="34">
        <v>0.7</v>
      </c>
      <c r="H13" s="32" t="s">
        <v>418</v>
      </c>
      <c r="I13" s="32" t="s">
        <v>413</v>
      </c>
      <c r="J13" s="31" t="s">
        <v>414</v>
      </c>
      <c r="K13" s="32"/>
      <c r="L13" s="31" t="s">
        <v>440</v>
      </c>
      <c r="M13" s="32" t="s">
        <v>416</v>
      </c>
      <c r="N13" s="31" t="s">
        <v>417</v>
      </c>
    </row>
    <row r="14" spans="1:14" ht="15" customHeight="1">
      <c r="A14" s="30" t="s">
        <v>184</v>
      </c>
      <c r="B14" s="30" t="s">
        <v>277</v>
      </c>
      <c r="C14" s="33" t="str">
        <f>IF(B14="","",IFERROR(INDEX(품목마스터!$B$2:$B$300,MATCH(B14,품목마스터!$A$2:$A$300,0)),"※미등록"))</f>
        <v>완제품 포장박스</v>
      </c>
      <c r="D14" s="32" t="s">
        <v>379</v>
      </c>
      <c r="E14" s="33" t="str">
        <f>IF(D14="","",IFERROR(INDEX(담당자마스터!$B$2:$B$300,MATCH(D14,담당자마스터!$A$2:$A$300,0)),"※미등록"))</f>
        <v>정OO</v>
      </c>
      <c r="F14" s="32" t="s">
        <v>21</v>
      </c>
      <c r="G14" s="34">
        <v>0.9</v>
      </c>
      <c r="H14" s="32" t="s">
        <v>418</v>
      </c>
      <c r="I14" s="32" t="s">
        <v>439</v>
      </c>
      <c r="J14" s="31" t="s">
        <v>414</v>
      </c>
      <c r="K14" s="32"/>
      <c r="L14" s="32"/>
      <c r="M14" s="32" t="s">
        <v>416</v>
      </c>
      <c r="N14" s="31" t="s">
        <v>417</v>
      </c>
    </row>
    <row r="15" spans="1:14" ht="15" customHeight="1">
      <c r="A15" s="30" t="s">
        <v>184</v>
      </c>
      <c r="B15" s="30" t="s">
        <v>281</v>
      </c>
      <c r="C15" s="33" t="str">
        <f>IF(B15="","",IFERROR(INDEX(품목마스터!$B$2:$B$300,MATCH(B15,품목마스터!$A$2:$A$300,0)),"※미등록"))</f>
        <v>포장비닐</v>
      </c>
      <c r="D15" s="32" t="s">
        <v>379</v>
      </c>
      <c r="E15" s="33" t="str">
        <f>IF(D15="","",IFERROR(INDEX(담당자마스터!$B$2:$B$300,MATCH(D15,담당자마스터!$A$2:$A$300,0)),"※미등록"))</f>
        <v>정OO</v>
      </c>
      <c r="F15" s="32" t="s">
        <v>15</v>
      </c>
      <c r="G15" s="34">
        <v>0.3</v>
      </c>
      <c r="H15" s="32" t="s">
        <v>395</v>
      </c>
      <c r="I15" s="32" t="s">
        <v>413</v>
      </c>
      <c r="J15" s="31" t="s">
        <v>414</v>
      </c>
      <c r="K15" s="32"/>
      <c r="L15" s="31" t="s">
        <v>441</v>
      </c>
      <c r="M15" s="32" t="s">
        <v>416</v>
      </c>
      <c r="N15" s="31" t="s">
        <v>417</v>
      </c>
    </row>
    <row r="16" spans="1:14" ht="15" customHeight="1">
      <c r="A16" s="30" t="s">
        <v>184</v>
      </c>
      <c r="B16" s="30" t="s">
        <v>288</v>
      </c>
      <c r="C16" s="33" t="str">
        <f>IF(B16="","",IFERROR(INDEX(품목마스터!$B$2:$B$300,MATCH(B16,품목마스터!$A$2:$A$300,0)),"※미등록"))</f>
        <v>Android 앱</v>
      </c>
      <c r="D16" s="32" t="s">
        <v>373</v>
      </c>
      <c r="E16" s="33" t="str">
        <f>IF(D16="","",IFERROR(INDEX(담당자마스터!$B$2:$B$300,MATCH(D16,담당자마스터!$A$2:$A$300,0)),"※미등록"))</f>
        <v>최OO</v>
      </c>
      <c r="F16" s="32" t="s">
        <v>18</v>
      </c>
      <c r="G16" s="34">
        <v>0.7</v>
      </c>
      <c r="H16" s="32" t="s">
        <v>427</v>
      </c>
      <c r="I16" s="32" t="s">
        <v>430</v>
      </c>
      <c r="J16" s="31" t="s">
        <v>414</v>
      </c>
      <c r="K16" s="32"/>
      <c r="L16" s="31" t="s">
        <v>442</v>
      </c>
      <c r="M16" s="32" t="s">
        <v>416</v>
      </c>
      <c r="N16" s="31" t="s">
        <v>417</v>
      </c>
    </row>
    <row r="17" spans="1:14" ht="15" customHeight="1">
      <c r="A17" s="30" t="s">
        <v>184</v>
      </c>
      <c r="B17" s="30" t="s">
        <v>294</v>
      </c>
      <c r="C17" s="33" t="str">
        <f>IF(B17="","",IFERROR(INDEX(품목마스터!$B$2:$B$300,MATCH(B17,품목마스터!$A$2:$A$300,0)),"※미등록"))</f>
        <v>iOS 앱</v>
      </c>
      <c r="D17" s="32" t="s">
        <v>373</v>
      </c>
      <c r="E17" s="33" t="str">
        <f>IF(D17="","",IFERROR(INDEX(담당자마스터!$B$2:$B$300,MATCH(D17,담당자마스터!$A$2:$A$300,0)),"※미등록"))</f>
        <v>최OO</v>
      </c>
      <c r="F17" s="32" t="s">
        <v>18</v>
      </c>
      <c r="G17" s="34">
        <v>0.6</v>
      </c>
      <c r="H17" s="32" t="s">
        <v>427</v>
      </c>
      <c r="I17" s="32" t="s">
        <v>430</v>
      </c>
      <c r="J17" s="31" t="s">
        <v>420</v>
      </c>
      <c r="K17" s="31" t="s">
        <v>443</v>
      </c>
      <c r="L17" s="32" t="s">
        <v>444</v>
      </c>
      <c r="M17" s="32" t="s">
        <v>416</v>
      </c>
      <c r="N17" s="31" t="s">
        <v>417</v>
      </c>
    </row>
    <row r="18" spans="1:14" ht="15" customHeight="1">
      <c r="A18" s="30" t="s">
        <v>184</v>
      </c>
      <c r="B18" s="30" t="s">
        <v>296</v>
      </c>
      <c r="C18" s="33" t="str">
        <f>IF(B18="","",IFERROR(INDEX(품목마스터!$B$2:$B$300,MATCH(B18,품목마스터!$A$2:$A$300,0)),"※미등록"))</f>
        <v>서버 - KR 리전</v>
      </c>
      <c r="D18" s="32" t="s">
        <v>373</v>
      </c>
      <c r="E18" s="33" t="str">
        <f>IF(D18="","",IFERROR(INDEX(담당자마스터!$B$2:$B$300,MATCH(D18,담당자마스터!$A$2:$A$300,0)),"※미등록"))</f>
        <v>최OO</v>
      </c>
      <c r="F18" s="32" t="s">
        <v>21</v>
      </c>
      <c r="G18" s="34">
        <v>0.85</v>
      </c>
      <c r="H18" s="32" t="s">
        <v>434</v>
      </c>
      <c r="I18" s="32" t="s">
        <v>435</v>
      </c>
      <c r="J18" s="31" t="s">
        <v>414</v>
      </c>
      <c r="K18" s="32"/>
      <c r="L18" s="31" t="s">
        <v>445</v>
      </c>
      <c r="M18" s="32" t="s">
        <v>416</v>
      </c>
      <c r="N18" s="31" t="s">
        <v>417</v>
      </c>
    </row>
    <row r="19" spans="1:14" ht="15" customHeight="1">
      <c r="A19" s="30"/>
      <c r="B19" s="30"/>
      <c r="C19" s="33" t="str">
        <f>IF(B19="","",IFERROR(INDEX(품목마스터!$B$2:$B$300,MATCH(B19,품목마스터!$A$2:$A$300,0)),"※미등록"))</f>
        <v/>
      </c>
      <c r="D19" s="32"/>
      <c r="E19" s="33" t="str">
        <f>IF(D19="","",IFERROR(INDEX(담당자마스터!$B$2:$B$300,MATCH(D19,담당자마스터!$A$2:$A$300,0)),"※미등록"))</f>
        <v/>
      </c>
      <c r="F19" s="32"/>
      <c r="G19" s="34"/>
      <c r="H19" s="32"/>
      <c r="I19" s="32"/>
      <c r="J19" s="31"/>
      <c r="K19" s="32"/>
      <c r="L19" s="32"/>
      <c r="M19" s="32"/>
      <c r="N19" s="32"/>
    </row>
    <row r="20" spans="1:14" ht="15" customHeight="1">
      <c r="A20" s="30"/>
      <c r="B20" s="30"/>
      <c r="C20" s="33" t="str">
        <f>IF(B20="","",IFERROR(INDEX(품목마스터!$B$2:$B$300,MATCH(B20,품목마스터!$A$2:$A$300,0)),"※미등록"))</f>
        <v/>
      </c>
      <c r="D20" s="32"/>
      <c r="E20" s="33" t="str">
        <f>IF(D20="","",IFERROR(INDEX(담당자마스터!$B$2:$B$300,MATCH(D20,담당자마스터!$A$2:$A$300,0)),"※미등록"))</f>
        <v/>
      </c>
      <c r="F20" s="32"/>
      <c r="G20" s="34"/>
      <c r="H20" s="32"/>
      <c r="I20" s="32"/>
      <c r="J20" s="31"/>
      <c r="K20" s="32"/>
      <c r="L20" s="32"/>
      <c r="M20" s="32"/>
      <c r="N20" s="32"/>
    </row>
    <row r="21" spans="1:14" ht="15" customHeight="1">
      <c r="A21" s="30"/>
      <c r="B21" s="30"/>
      <c r="C21" s="33" t="str">
        <f>IF(B21="","",IFERROR(INDEX(품목마스터!$B$2:$B$300,MATCH(B21,품목마스터!$A$2:$A$300,0)),"※미등록"))</f>
        <v/>
      </c>
      <c r="D21" s="32"/>
      <c r="E21" s="33" t="str">
        <f>IF(D21="","",IFERROR(INDEX(담당자마스터!$B$2:$B$300,MATCH(D21,담당자마스터!$A$2:$A$300,0)),"※미등록"))</f>
        <v/>
      </c>
      <c r="F21" s="32"/>
      <c r="G21" s="34"/>
      <c r="H21" s="32"/>
      <c r="I21" s="32"/>
      <c r="J21" s="31"/>
      <c r="K21" s="32"/>
      <c r="L21" s="32"/>
      <c r="M21" s="32"/>
      <c r="N21" s="32"/>
    </row>
    <row r="22" spans="1:14" ht="15" customHeight="1">
      <c r="A22" s="30"/>
      <c r="B22" s="30"/>
      <c r="C22" s="33" t="str">
        <f>IF(B22="","",IFERROR(INDEX(품목마스터!$B$2:$B$300,MATCH(B22,품목마스터!$A$2:$A$300,0)),"※미등록"))</f>
        <v/>
      </c>
      <c r="D22" s="32"/>
      <c r="E22" s="33" t="str">
        <f>IF(D22="","",IFERROR(INDEX(담당자마스터!$B$2:$B$300,MATCH(D22,담당자마스터!$A$2:$A$300,0)),"※미등록"))</f>
        <v/>
      </c>
      <c r="F22" s="32"/>
      <c r="G22" s="34"/>
      <c r="H22" s="32"/>
      <c r="I22" s="32"/>
      <c r="J22" s="31"/>
      <c r="K22" s="32"/>
      <c r="L22" s="32"/>
      <c r="M22" s="32"/>
      <c r="N22" s="32"/>
    </row>
    <row r="23" spans="1:14" ht="15" customHeight="1">
      <c r="A23" s="30"/>
      <c r="B23" s="30"/>
      <c r="C23" s="33" t="str">
        <f>IF(B23="","",IFERROR(INDEX(품목마스터!$B$2:$B$300,MATCH(B23,품목마스터!$A$2:$A$300,0)),"※미등록"))</f>
        <v/>
      </c>
      <c r="D23" s="32"/>
      <c r="E23" s="33" t="str">
        <f>IF(D23="","",IFERROR(INDEX(담당자마스터!$B$2:$B$300,MATCH(D23,담당자마스터!$A$2:$A$300,0)),"※미등록"))</f>
        <v/>
      </c>
      <c r="F23" s="32"/>
      <c r="G23" s="34"/>
      <c r="H23" s="32"/>
      <c r="I23" s="32"/>
      <c r="J23" s="31"/>
      <c r="K23" s="32"/>
      <c r="L23" s="32"/>
      <c r="M23" s="32"/>
      <c r="N23" s="32"/>
    </row>
    <row r="24" spans="1:14" ht="15" customHeight="1">
      <c r="A24" s="30"/>
      <c r="B24" s="30"/>
      <c r="C24" s="33" t="str">
        <f>IF(B24="","",IFERROR(INDEX(품목마스터!$B$2:$B$300,MATCH(B24,품목마스터!$A$2:$A$300,0)),"※미등록"))</f>
        <v/>
      </c>
      <c r="D24" s="32"/>
      <c r="E24" s="33" t="str">
        <f>IF(D24="","",IFERROR(INDEX(담당자마스터!$B$2:$B$300,MATCH(D24,담당자마스터!$A$2:$A$300,0)),"※미등록"))</f>
        <v/>
      </c>
      <c r="F24" s="32"/>
      <c r="G24" s="34"/>
      <c r="H24" s="32"/>
      <c r="I24" s="32"/>
      <c r="J24" s="31"/>
      <c r="K24" s="32"/>
      <c r="L24" s="32"/>
      <c r="M24" s="32"/>
      <c r="N24" s="32"/>
    </row>
    <row r="25" spans="1:14" ht="15" customHeight="1">
      <c r="A25" s="30"/>
      <c r="B25" s="30"/>
      <c r="C25" s="33" t="str">
        <f>IF(B25="","",IFERROR(INDEX(품목마스터!$B$2:$B$300,MATCH(B25,품목마스터!$A$2:$A$300,0)),"※미등록"))</f>
        <v/>
      </c>
      <c r="D25" s="32"/>
      <c r="E25" s="33" t="str">
        <f>IF(D25="","",IFERROR(INDEX(담당자마스터!$B$2:$B$300,MATCH(D25,담당자마스터!$A$2:$A$300,0)),"※미등록"))</f>
        <v/>
      </c>
      <c r="F25" s="32"/>
      <c r="G25" s="34"/>
      <c r="H25" s="32"/>
      <c r="I25" s="32"/>
      <c r="J25" s="31"/>
      <c r="K25" s="32"/>
      <c r="L25" s="32"/>
      <c r="M25" s="32"/>
      <c r="N25" s="32"/>
    </row>
    <row r="26" spans="1:14" ht="15" customHeight="1">
      <c r="A26" s="30"/>
      <c r="B26" s="30"/>
      <c r="C26" s="33" t="str">
        <f>IF(B26="","",IFERROR(INDEX(품목마스터!$B$2:$B$300,MATCH(B26,품목마스터!$A$2:$A$300,0)),"※미등록"))</f>
        <v/>
      </c>
      <c r="D26" s="32"/>
      <c r="E26" s="33" t="str">
        <f>IF(D26="","",IFERROR(INDEX(담당자마스터!$B$2:$B$300,MATCH(D26,담당자마스터!$A$2:$A$300,0)),"※미등록"))</f>
        <v/>
      </c>
      <c r="F26" s="32"/>
      <c r="G26" s="34"/>
      <c r="H26" s="32"/>
      <c r="I26" s="32"/>
      <c r="J26" s="31"/>
      <c r="K26" s="32"/>
      <c r="L26" s="32"/>
      <c r="M26" s="32"/>
      <c r="N26" s="32"/>
    </row>
    <row r="27" spans="1:14" ht="15" customHeight="1">
      <c r="A27" s="30"/>
      <c r="B27" s="30"/>
      <c r="C27" s="33" t="str">
        <f>IF(B27="","",IFERROR(INDEX(품목마스터!$B$2:$B$300,MATCH(B27,품목마스터!$A$2:$A$300,0)),"※미등록"))</f>
        <v/>
      </c>
      <c r="D27" s="32"/>
      <c r="E27" s="33" t="str">
        <f>IF(D27="","",IFERROR(INDEX(담당자마스터!$B$2:$B$300,MATCH(D27,담당자마스터!$A$2:$A$300,0)),"※미등록"))</f>
        <v/>
      </c>
      <c r="F27" s="32"/>
      <c r="G27" s="34"/>
      <c r="H27" s="32"/>
      <c r="I27" s="32"/>
      <c r="J27" s="31"/>
      <c r="K27" s="32"/>
      <c r="L27" s="32"/>
      <c r="M27" s="32"/>
      <c r="N27" s="32"/>
    </row>
    <row r="28" spans="1:14" ht="15" customHeight="1">
      <c r="A28" s="30"/>
      <c r="B28" s="30"/>
      <c r="C28" s="33" t="str">
        <f>IF(B28="","",IFERROR(INDEX(품목마스터!$B$2:$B$300,MATCH(B28,품목마스터!$A$2:$A$300,0)),"※미등록"))</f>
        <v/>
      </c>
      <c r="D28" s="32"/>
      <c r="E28" s="33" t="str">
        <f>IF(D28="","",IFERROR(INDEX(담당자마스터!$B$2:$B$300,MATCH(D28,담당자마스터!$A$2:$A$300,0)),"※미등록"))</f>
        <v/>
      </c>
      <c r="F28" s="32"/>
      <c r="G28" s="34"/>
      <c r="H28" s="32"/>
      <c r="I28" s="32"/>
      <c r="J28" s="31"/>
      <c r="K28" s="32"/>
      <c r="L28" s="32"/>
      <c r="M28" s="32"/>
      <c r="N28" s="32"/>
    </row>
    <row r="29" spans="1:14" ht="15" customHeight="1">
      <c r="A29" s="30"/>
      <c r="B29" s="30"/>
      <c r="C29" s="33" t="str">
        <f>IF(B29="","",IFERROR(INDEX(품목마스터!$B$2:$B$300,MATCH(B29,품목마스터!$A$2:$A$300,0)),"※미등록"))</f>
        <v/>
      </c>
      <c r="D29" s="32"/>
      <c r="E29" s="33" t="str">
        <f>IF(D29="","",IFERROR(INDEX(담당자마스터!$B$2:$B$300,MATCH(D29,담당자마스터!$A$2:$A$300,0)),"※미등록"))</f>
        <v/>
      </c>
      <c r="F29" s="32"/>
      <c r="G29" s="34"/>
      <c r="H29" s="32"/>
      <c r="I29" s="32"/>
      <c r="J29" s="31"/>
      <c r="K29" s="32"/>
      <c r="L29" s="32"/>
      <c r="M29" s="32"/>
      <c r="N29" s="32"/>
    </row>
    <row r="30" spans="1:14" ht="15" customHeight="1">
      <c r="A30" s="30"/>
      <c r="B30" s="30"/>
      <c r="C30" s="33" t="str">
        <f>IF(B30="","",IFERROR(INDEX(품목마스터!$B$2:$B$300,MATCH(B30,품목마스터!$A$2:$A$300,0)),"※미등록"))</f>
        <v/>
      </c>
      <c r="D30" s="32"/>
      <c r="E30" s="33" t="str">
        <f>IF(D30="","",IFERROR(INDEX(담당자마스터!$B$2:$B$300,MATCH(D30,담당자마스터!$A$2:$A$300,0)),"※미등록"))</f>
        <v/>
      </c>
      <c r="F30" s="32"/>
      <c r="G30" s="34"/>
      <c r="H30" s="32"/>
      <c r="I30" s="32"/>
      <c r="J30" s="31"/>
      <c r="K30" s="32"/>
      <c r="L30" s="32"/>
      <c r="M30" s="32"/>
      <c r="N30" s="32"/>
    </row>
    <row r="31" spans="1:14" ht="15" customHeight="1">
      <c r="A31" s="30"/>
      <c r="B31" s="30"/>
      <c r="C31" s="33" t="str">
        <f>IF(B31="","",IFERROR(INDEX(품목마스터!$B$2:$B$300,MATCH(B31,품목마스터!$A$2:$A$300,0)),"※미등록"))</f>
        <v/>
      </c>
      <c r="D31" s="32"/>
      <c r="E31" s="33" t="str">
        <f>IF(D31="","",IFERROR(INDEX(담당자마스터!$B$2:$B$300,MATCH(D31,담당자마스터!$A$2:$A$300,0)),"※미등록"))</f>
        <v/>
      </c>
      <c r="F31" s="32"/>
      <c r="G31" s="34"/>
      <c r="H31" s="32"/>
      <c r="I31" s="32"/>
      <c r="J31" s="31"/>
      <c r="K31" s="32"/>
      <c r="L31" s="32"/>
      <c r="M31" s="32"/>
      <c r="N31" s="32"/>
    </row>
    <row r="32" spans="1:14" ht="15" customHeight="1">
      <c r="A32" s="30"/>
      <c r="B32" s="30"/>
      <c r="C32" s="33" t="str">
        <f>IF(B32="","",IFERROR(INDEX(품목마스터!$B$2:$B$300,MATCH(B32,품목마스터!$A$2:$A$300,0)),"※미등록"))</f>
        <v/>
      </c>
      <c r="D32" s="32"/>
      <c r="E32" s="33" t="str">
        <f>IF(D32="","",IFERROR(INDEX(담당자마스터!$B$2:$B$300,MATCH(D32,담당자마스터!$A$2:$A$300,0)),"※미등록"))</f>
        <v/>
      </c>
      <c r="F32" s="32"/>
      <c r="G32" s="34"/>
      <c r="H32" s="32"/>
      <c r="I32" s="32"/>
      <c r="J32" s="31"/>
      <c r="K32" s="32"/>
      <c r="L32" s="32"/>
      <c r="M32" s="32"/>
      <c r="N32" s="32"/>
    </row>
    <row r="33" spans="1:14" ht="15" customHeight="1">
      <c r="A33" s="30"/>
      <c r="B33" s="30"/>
      <c r="C33" s="33" t="str">
        <f>IF(B33="","",IFERROR(INDEX(품목마스터!$B$2:$B$300,MATCH(B33,품목마스터!$A$2:$A$300,0)),"※미등록"))</f>
        <v/>
      </c>
      <c r="D33" s="32"/>
      <c r="E33" s="33" t="str">
        <f>IF(D33="","",IFERROR(INDEX(담당자마스터!$B$2:$B$300,MATCH(D33,담당자마스터!$A$2:$A$300,0)),"※미등록"))</f>
        <v/>
      </c>
      <c r="F33" s="32"/>
      <c r="G33" s="34"/>
      <c r="H33" s="32"/>
      <c r="I33" s="32"/>
      <c r="J33" s="31"/>
      <c r="K33" s="32"/>
      <c r="L33" s="32"/>
      <c r="M33" s="32"/>
      <c r="N33" s="32"/>
    </row>
    <row r="34" spans="1:14" ht="15" customHeight="1">
      <c r="A34" s="30"/>
      <c r="B34" s="30"/>
      <c r="C34" s="33" t="str">
        <f>IF(B34="","",IFERROR(INDEX(품목마스터!$B$2:$B$300,MATCH(B34,품목마스터!$A$2:$A$300,0)),"※미등록"))</f>
        <v/>
      </c>
      <c r="D34" s="32"/>
      <c r="E34" s="33" t="str">
        <f>IF(D34="","",IFERROR(INDEX(담당자마스터!$B$2:$B$300,MATCH(D34,담당자마스터!$A$2:$A$300,0)),"※미등록"))</f>
        <v/>
      </c>
      <c r="F34" s="32"/>
      <c r="G34" s="34"/>
      <c r="H34" s="32"/>
      <c r="I34" s="32"/>
      <c r="J34" s="31"/>
      <c r="K34" s="32"/>
      <c r="L34" s="32"/>
      <c r="M34" s="32"/>
      <c r="N34" s="32"/>
    </row>
    <row r="35" spans="1:14" ht="15" customHeight="1">
      <c r="A35" s="30"/>
      <c r="B35" s="30"/>
      <c r="C35" s="33" t="str">
        <f>IF(B35="","",IFERROR(INDEX(품목마스터!$B$2:$B$300,MATCH(B35,품목마스터!$A$2:$A$300,0)),"※미등록"))</f>
        <v/>
      </c>
      <c r="D35" s="32"/>
      <c r="E35" s="33" t="str">
        <f>IF(D35="","",IFERROR(INDEX(담당자마스터!$B$2:$B$300,MATCH(D35,담당자마스터!$A$2:$A$300,0)),"※미등록"))</f>
        <v/>
      </c>
      <c r="F35" s="32"/>
      <c r="G35" s="34"/>
      <c r="H35" s="32"/>
      <c r="I35" s="32"/>
      <c r="J35" s="31"/>
      <c r="K35" s="32"/>
      <c r="L35" s="32"/>
      <c r="M35" s="32"/>
      <c r="N35" s="32"/>
    </row>
    <row r="36" spans="1:14" ht="15" customHeight="1">
      <c r="A36" s="30"/>
      <c r="B36" s="30"/>
      <c r="C36" s="33" t="str">
        <f>IF(B36="","",IFERROR(INDEX(품목마스터!$B$2:$B$300,MATCH(B36,품목마스터!$A$2:$A$300,0)),"※미등록"))</f>
        <v/>
      </c>
      <c r="D36" s="32"/>
      <c r="E36" s="33" t="str">
        <f>IF(D36="","",IFERROR(INDEX(담당자마스터!$B$2:$B$300,MATCH(D36,담당자마스터!$A$2:$A$300,0)),"※미등록"))</f>
        <v/>
      </c>
      <c r="F36" s="32"/>
      <c r="G36" s="34"/>
      <c r="H36" s="32"/>
      <c r="I36" s="32"/>
      <c r="J36" s="31"/>
      <c r="K36" s="32"/>
      <c r="L36" s="32"/>
      <c r="M36" s="32"/>
      <c r="N36" s="32"/>
    </row>
    <row r="37" spans="1:14" ht="15" customHeight="1">
      <c r="A37" s="30"/>
      <c r="B37" s="30"/>
      <c r="C37" s="33" t="str">
        <f>IF(B37="","",IFERROR(INDEX(품목마스터!$B$2:$B$300,MATCH(B37,품목마스터!$A$2:$A$300,0)),"※미등록"))</f>
        <v/>
      </c>
      <c r="D37" s="32"/>
      <c r="E37" s="33" t="str">
        <f>IF(D37="","",IFERROR(INDEX(담당자마스터!$B$2:$B$300,MATCH(D37,담당자마스터!$A$2:$A$300,0)),"※미등록"))</f>
        <v/>
      </c>
      <c r="F37" s="32"/>
      <c r="G37" s="34"/>
      <c r="H37" s="32"/>
      <c r="I37" s="32"/>
      <c r="J37" s="31"/>
      <c r="K37" s="32"/>
      <c r="L37" s="32"/>
      <c r="M37" s="32"/>
      <c r="N37" s="32"/>
    </row>
    <row r="38" spans="1:14" ht="15" customHeight="1">
      <c r="A38" s="30"/>
      <c r="B38" s="30"/>
      <c r="C38" s="33" t="str">
        <f>IF(B38="","",IFERROR(INDEX(품목마스터!$B$2:$B$300,MATCH(B38,품목마스터!$A$2:$A$300,0)),"※미등록"))</f>
        <v/>
      </c>
      <c r="D38" s="32"/>
      <c r="E38" s="33" t="str">
        <f>IF(D38="","",IFERROR(INDEX(담당자마스터!$B$2:$B$300,MATCH(D38,담당자마스터!$A$2:$A$300,0)),"※미등록"))</f>
        <v/>
      </c>
      <c r="F38" s="32"/>
      <c r="G38" s="34"/>
      <c r="H38" s="32"/>
      <c r="I38" s="32"/>
      <c r="J38" s="31"/>
      <c r="K38" s="32"/>
      <c r="L38" s="32"/>
      <c r="M38" s="32"/>
      <c r="N38" s="32"/>
    </row>
    <row r="39" spans="1:14" ht="15" customHeight="1">
      <c r="A39" s="30"/>
      <c r="B39" s="30"/>
      <c r="C39" s="33" t="str">
        <f>IF(B39="","",IFERROR(INDEX(품목마스터!$B$2:$B$300,MATCH(B39,품목마스터!$A$2:$A$300,0)),"※미등록"))</f>
        <v/>
      </c>
      <c r="D39" s="32"/>
      <c r="E39" s="33" t="str">
        <f>IF(D39="","",IFERROR(INDEX(담당자마스터!$B$2:$B$300,MATCH(D39,담당자마스터!$A$2:$A$300,0)),"※미등록"))</f>
        <v/>
      </c>
      <c r="F39" s="32"/>
      <c r="G39" s="34"/>
      <c r="H39" s="32"/>
      <c r="I39" s="32"/>
      <c r="J39" s="31"/>
      <c r="K39" s="32"/>
      <c r="L39" s="32"/>
      <c r="M39" s="32"/>
      <c r="N39" s="32"/>
    </row>
    <row r="40" spans="1:14" ht="15" customHeight="1">
      <c r="A40" s="30"/>
      <c r="B40" s="30"/>
      <c r="C40" s="33" t="str">
        <f>IF(B40="","",IFERROR(INDEX(품목마스터!$B$2:$B$300,MATCH(B40,품목마스터!$A$2:$A$300,0)),"※미등록"))</f>
        <v/>
      </c>
      <c r="D40" s="32"/>
      <c r="E40" s="33" t="str">
        <f>IF(D40="","",IFERROR(INDEX(담당자마스터!$B$2:$B$300,MATCH(D40,담당자마스터!$A$2:$A$300,0)),"※미등록"))</f>
        <v/>
      </c>
      <c r="F40" s="32"/>
      <c r="G40" s="34"/>
      <c r="H40" s="32"/>
      <c r="I40" s="32"/>
      <c r="J40" s="31"/>
      <c r="K40" s="32"/>
      <c r="L40" s="32"/>
      <c r="M40" s="32"/>
      <c r="N40" s="32"/>
    </row>
    <row r="41" spans="1:14" ht="15" customHeight="1">
      <c r="A41" s="30"/>
      <c r="B41" s="30"/>
      <c r="C41" s="33" t="str">
        <f>IF(B41="","",IFERROR(INDEX(품목마스터!$B$2:$B$300,MATCH(B41,품목마스터!$A$2:$A$300,0)),"※미등록"))</f>
        <v/>
      </c>
      <c r="D41" s="32"/>
      <c r="E41" s="33" t="str">
        <f>IF(D41="","",IFERROR(INDEX(담당자마스터!$B$2:$B$300,MATCH(D41,담당자마스터!$A$2:$A$300,0)),"※미등록"))</f>
        <v/>
      </c>
      <c r="F41" s="32"/>
      <c r="G41" s="34"/>
      <c r="H41" s="32"/>
      <c r="I41" s="32"/>
      <c r="J41" s="31"/>
      <c r="K41" s="32"/>
      <c r="L41" s="32"/>
      <c r="M41" s="32"/>
      <c r="N41" s="32"/>
    </row>
    <row r="42" spans="1:14" ht="15" customHeight="1">
      <c r="A42" s="30"/>
      <c r="B42" s="30"/>
      <c r="C42" s="33" t="str">
        <f>IF(B42="","",IFERROR(INDEX(품목마스터!$B$2:$B$300,MATCH(B42,품목마스터!$A$2:$A$300,0)),"※미등록"))</f>
        <v/>
      </c>
      <c r="D42" s="32"/>
      <c r="E42" s="33" t="str">
        <f>IF(D42="","",IFERROR(INDEX(담당자마스터!$B$2:$B$300,MATCH(D42,담당자마스터!$A$2:$A$300,0)),"※미등록"))</f>
        <v/>
      </c>
      <c r="F42" s="32"/>
      <c r="G42" s="34"/>
      <c r="H42" s="32"/>
      <c r="I42" s="32"/>
      <c r="J42" s="31"/>
      <c r="K42" s="32"/>
      <c r="L42" s="32"/>
      <c r="M42" s="32"/>
      <c r="N42" s="32"/>
    </row>
    <row r="43" spans="1:14" ht="15" customHeight="1">
      <c r="A43" s="30"/>
      <c r="B43" s="30"/>
      <c r="C43" s="33" t="str">
        <f>IF(B43="","",IFERROR(INDEX(품목마스터!$B$2:$B$300,MATCH(B43,품목마스터!$A$2:$A$300,0)),"※미등록"))</f>
        <v/>
      </c>
      <c r="D43" s="32"/>
      <c r="E43" s="33" t="str">
        <f>IF(D43="","",IFERROR(INDEX(담당자마스터!$B$2:$B$300,MATCH(D43,담당자마스터!$A$2:$A$300,0)),"※미등록"))</f>
        <v/>
      </c>
      <c r="F43" s="32"/>
      <c r="G43" s="34"/>
      <c r="H43" s="32"/>
      <c r="I43" s="32"/>
      <c r="J43" s="31"/>
      <c r="K43" s="32"/>
      <c r="L43" s="32"/>
      <c r="M43" s="32"/>
      <c r="N43" s="32"/>
    </row>
    <row r="44" spans="1:14" ht="15" customHeight="1">
      <c r="A44" s="30"/>
      <c r="B44" s="30"/>
      <c r="C44" s="33" t="str">
        <f>IF(B44="","",IFERROR(INDEX(품목마스터!$B$2:$B$300,MATCH(B44,품목마스터!$A$2:$A$300,0)),"※미등록"))</f>
        <v/>
      </c>
      <c r="D44" s="32"/>
      <c r="E44" s="33" t="str">
        <f>IF(D44="","",IFERROR(INDEX(담당자마스터!$B$2:$B$300,MATCH(D44,담당자마스터!$A$2:$A$300,0)),"※미등록"))</f>
        <v/>
      </c>
      <c r="F44" s="32"/>
      <c r="G44" s="34"/>
      <c r="H44" s="32"/>
      <c r="I44" s="32"/>
      <c r="J44" s="31"/>
      <c r="K44" s="32"/>
      <c r="L44" s="32"/>
      <c r="M44" s="32"/>
      <c r="N44" s="32"/>
    </row>
    <row r="45" spans="1:14" ht="15" customHeight="1">
      <c r="A45" s="30"/>
      <c r="B45" s="30"/>
      <c r="C45" s="33" t="str">
        <f>IF(B45="","",IFERROR(INDEX(품목마스터!$B$2:$B$300,MATCH(B45,품목마스터!$A$2:$A$300,0)),"※미등록"))</f>
        <v/>
      </c>
      <c r="D45" s="32"/>
      <c r="E45" s="33" t="str">
        <f>IF(D45="","",IFERROR(INDEX(담당자마스터!$B$2:$B$300,MATCH(D45,담당자마스터!$A$2:$A$300,0)),"※미등록"))</f>
        <v/>
      </c>
      <c r="F45" s="32"/>
      <c r="G45" s="34"/>
      <c r="H45" s="32"/>
      <c r="I45" s="32"/>
      <c r="J45" s="31"/>
      <c r="K45" s="32"/>
      <c r="L45" s="32"/>
      <c r="M45" s="32"/>
      <c r="N45" s="32"/>
    </row>
    <row r="46" spans="1:14" ht="15" customHeight="1">
      <c r="A46" s="30"/>
      <c r="B46" s="30"/>
      <c r="C46" s="33" t="str">
        <f>IF(B46="","",IFERROR(INDEX(품목마스터!$B$2:$B$300,MATCH(B46,품목마스터!$A$2:$A$300,0)),"※미등록"))</f>
        <v/>
      </c>
      <c r="D46" s="32"/>
      <c r="E46" s="33" t="str">
        <f>IF(D46="","",IFERROR(INDEX(담당자마스터!$B$2:$B$300,MATCH(D46,담당자마스터!$A$2:$A$300,0)),"※미등록"))</f>
        <v/>
      </c>
      <c r="F46" s="32"/>
      <c r="G46" s="34"/>
      <c r="H46" s="32"/>
      <c r="I46" s="32"/>
      <c r="J46" s="31"/>
      <c r="K46" s="32"/>
      <c r="L46" s="32"/>
      <c r="M46" s="32"/>
      <c r="N46" s="32"/>
    </row>
    <row r="47" spans="1:14" ht="15" customHeight="1">
      <c r="A47" s="30"/>
      <c r="B47" s="30"/>
      <c r="C47" s="33" t="str">
        <f>IF(B47="","",IFERROR(INDEX(품목마스터!$B$2:$B$300,MATCH(B47,품목마스터!$A$2:$A$300,0)),"※미등록"))</f>
        <v/>
      </c>
      <c r="D47" s="32"/>
      <c r="E47" s="33" t="str">
        <f>IF(D47="","",IFERROR(INDEX(담당자마스터!$B$2:$B$300,MATCH(D47,담당자마스터!$A$2:$A$300,0)),"※미등록"))</f>
        <v/>
      </c>
      <c r="F47" s="32"/>
      <c r="G47" s="34"/>
      <c r="H47" s="32"/>
      <c r="I47" s="32"/>
      <c r="J47" s="31"/>
      <c r="K47" s="32"/>
      <c r="L47" s="32"/>
      <c r="M47" s="32"/>
      <c r="N47" s="32"/>
    </row>
    <row r="48" spans="1:14" ht="15" customHeight="1">
      <c r="A48" s="30"/>
      <c r="B48" s="30"/>
      <c r="C48" s="33" t="str">
        <f>IF(B48="","",IFERROR(INDEX(품목마스터!$B$2:$B$300,MATCH(B48,품목마스터!$A$2:$A$300,0)),"※미등록"))</f>
        <v/>
      </c>
      <c r="D48" s="32"/>
      <c r="E48" s="33" t="str">
        <f>IF(D48="","",IFERROR(INDEX(담당자마스터!$B$2:$B$300,MATCH(D48,담당자마스터!$A$2:$A$300,0)),"※미등록"))</f>
        <v/>
      </c>
      <c r="F48" s="32"/>
      <c r="G48" s="34"/>
      <c r="H48" s="32"/>
      <c r="I48" s="32"/>
      <c r="J48" s="31"/>
      <c r="K48" s="32"/>
      <c r="L48" s="32"/>
      <c r="M48" s="32"/>
      <c r="N48" s="32"/>
    </row>
    <row r="49" spans="1:14" ht="15" customHeight="1">
      <c r="A49" s="30"/>
      <c r="B49" s="30"/>
      <c r="C49" s="33" t="str">
        <f>IF(B49="","",IFERROR(INDEX(품목마스터!$B$2:$B$300,MATCH(B49,품목마스터!$A$2:$A$300,0)),"※미등록"))</f>
        <v/>
      </c>
      <c r="D49" s="32"/>
      <c r="E49" s="33" t="str">
        <f>IF(D49="","",IFERROR(INDEX(담당자마스터!$B$2:$B$300,MATCH(D49,담당자마스터!$A$2:$A$300,0)),"※미등록"))</f>
        <v/>
      </c>
      <c r="F49" s="32"/>
      <c r="G49" s="34"/>
      <c r="H49" s="32"/>
      <c r="I49" s="32"/>
      <c r="J49" s="31"/>
      <c r="K49" s="32"/>
      <c r="L49" s="32"/>
      <c r="M49" s="32"/>
      <c r="N49" s="32"/>
    </row>
    <row r="50" spans="1:14" ht="15" customHeight="1">
      <c r="A50" s="30"/>
      <c r="B50" s="30"/>
      <c r="C50" s="33" t="str">
        <f>IF(B50="","",IFERROR(INDEX(품목마스터!$B$2:$B$300,MATCH(B50,품목마스터!$A$2:$A$300,0)),"※미등록"))</f>
        <v/>
      </c>
      <c r="D50" s="32"/>
      <c r="E50" s="33" t="str">
        <f>IF(D50="","",IFERROR(INDEX(담당자마스터!$B$2:$B$300,MATCH(D50,담당자마스터!$A$2:$A$300,0)),"※미등록"))</f>
        <v/>
      </c>
      <c r="F50" s="32"/>
      <c r="G50" s="34"/>
      <c r="H50" s="32"/>
      <c r="I50" s="32"/>
      <c r="J50" s="31"/>
      <c r="K50" s="32"/>
      <c r="L50" s="32"/>
      <c r="M50" s="32"/>
      <c r="N50" s="32"/>
    </row>
    <row r="51" spans="1:14" ht="15" customHeight="1">
      <c r="A51" s="30"/>
      <c r="B51" s="30"/>
      <c r="C51" s="33" t="str">
        <f>IF(B51="","",IFERROR(INDEX(품목마스터!$B$2:$B$300,MATCH(B51,품목마스터!$A$2:$A$300,0)),"※미등록"))</f>
        <v/>
      </c>
      <c r="D51" s="32"/>
      <c r="E51" s="33" t="str">
        <f>IF(D51="","",IFERROR(INDEX(담당자마스터!$B$2:$B$300,MATCH(D51,담당자마스터!$A$2:$A$300,0)),"※미등록"))</f>
        <v/>
      </c>
      <c r="F51" s="32"/>
      <c r="G51" s="34"/>
      <c r="H51" s="32"/>
      <c r="I51" s="32"/>
      <c r="J51" s="31"/>
      <c r="K51" s="32"/>
      <c r="L51" s="32"/>
      <c r="M51" s="32"/>
      <c r="N51" s="32"/>
    </row>
    <row r="52" spans="1:14" ht="15" customHeight="1">
      <c r="A52" s="30"/>
      <c r="B52" s="30"/>
      <c r="C52" s="33" t="str">
        <f>IF(B52="","",IFERROR(INDEX(품목마스터!$B$2:$B$300,MATCH(B52,품목마스터!$A$2:$A$300,0)),"※미등록"))</f>
        <v/>
      </c>
      <c r="D52" s="32"/>
      <c r="E52" s="33" t="str">
        <f>IF(D52="","",IFERROR(INDEX(담당자마스터!$B$2:$B$300,MATCH(D52,담당자마스터!$A$2:$A$300,0)),"※미등록"))</f>
        <v/>
      </c>
      <c r="F52" s="32"/>
      <c r="G52" s="34"/>
      <c r="H52" s="32"/>
      <c r="I52" s="32"/>
      <c r="J52" s="31"/>
      <c r="K52" s="32"/>
      <c r="L52" s="32"/>
      <c r="M52" s="32"/>
      <c r="N52" s="32"/>
    </row>
    <row r="53" spans="1:14" ht="15" customHeight="1">
      <c r="A53" s="30"/>
      <c r="B53" s="30"/>
      <c r="C53" s="33" t="str">
        <f>IF(B53="","",IFERROR(INDEX(품목마스터!$B$2:$B$300,MATCH(B53,품목마스터!$A$2:$A$300,0)),"※미등록"))</f>
        <v/>
      </c>
      <c r="D53" s="32"/>
      <c r="E53" s="33" t="str">
        <f>IF(D53="","",IFERROR(INDEX(담당자마스터!$B$2:$B$300,MATCH(D53,담당자마스터!$A$2:$A$300,0)),"※미등록"))</f>
        <v/>
      </c>
      <c r="F53" s="32"/>
      <c r="G53" s="34"/>
      <c r="H53" s="32"/>
      <c r="I53" s="32"/>
      <c r="J53" s="31"/>
      <c r="K53" s="32"/>
      <c r="L53" s="32"/>
      <c r="M53" s="32"/>
      <c r="N53" s="32"/>
    </row>
    <row r="54" spans="1:14" ht="15" customHeight="1">
      <c r="A54" s="30"/>
      <c r="B54" s="30"/>
      <c r="C54" s="33" t="str">
        <f>IF(B54="","",IFERROR(INDEX(품목마스터!$B$2:$B$300,MATCH(B54,품목마스터!$A$2:$A$300,0)),"※미등록"))</f>
        <v/>
      </c>
      <c r="D54" s="32"/>
      <c r="E54" s="33" t="str">
        <f>IF(D54="","",IFERROR(INDEX(담당자마스터!$B$2:$B$300,MATCH(D54,담당자마스터!$A$2:$A$300,0)),"※미등록"))</f>
        <v/>
      </c>
      <c r="F54" s="32"/>
      <c r="G54" s="34"/>
      <c r="H54" s="32"/>
      <c r="I54" s="32"/>
      <c r="J54" s="31"/>
      <c r="K54" s="32"/>
      <c r="L54" s="32"/>
      <c r="M54" s="32"/>
      <c r="N54" s="32"/>
    </row>
    <row r="55" spans="1:14" ht="15" customHeight="1">
      <c r="A55" s="30"/>
      <c r="B55" s="30"/>
      <c r="C55" s="33" t="str">
        <f>IF(B55="","",IFERROR(INDEX(품목마스터!$B$2:$B$300,MATCH(B55,품목마스터!$A$2:$A$300,0)),"※미등록"))</f>
        <v/>
      </c>
      <c r="D55" s="32"/>
      <c r="E55" s="33" t="str">
        <f>IF(D55="","",IFERROR(INDEX(담당자마스터!$B$2:$B$300,MATCH(D55,담당자마스터!$A$2:$A$300,0)),"※미등록"))</f>
        <v/>
      </c>
      <c r="F55" s="32"/>
      <c r="G55" s="34"/>
      <c r="H55" s="32"/>
      <c r="I55" s="32"/>
      <c r="J55" s="31"/>
      <c r="K55" s="32"/>
      <c r="L55" s="32"/>
      <c r="M55" s="32"/>
      <c r="N55" s="32"/>
    </row>
    <row r="56" spans="1:14" ht="15" customHeight="1">
      <c r="A56" s="30"/>
      <c r="B56" s="30"/>
      <c r="C56" s="33" t="str">
        <f>IF(B56="","",IFERROR(INDEX(품목마스터!$B$2:$B$300,MATCH(B56,품목마스터!$A$2:$A$300,0)),"※미등록"))</f>
        <v/>
      </c>
      <c r="D56" s="32"/>
      <c r="E56" s="33" t="str">
        <f>IF(D56="","",IFERROR(INDEX(담당자마스터!$B$2:$B$300,MATCH(D56,담당자마스터!$A$2:$A$300,0)),"※미등록"))</f>
        <v/>
      </c>
      <c r="F56" s="32"/>
      <c r="G56" s="34"/>
      <c r="H56" s="32"/>
      <c r="I56" s="32"/>
      <c r="J56" s="31"/>
      <c r="K56" s="32"/>
      <c r="L56" s="32"/>
      <c r="M56" s="32"/>
      <c r="N56" s="32"/>
    </row>
    <row r="57" spans="1:14" ht="15" customHeight="1">
      <c r="A57" s="30"/>
      <c r="B57" s="30"/>
      <c r="C57" s="33" t="str">
        <f>IF(B57="","",IFERROR(INDEX(품목마스터!$B$2:$B$300,MATCH(B57,품목마스터!$A$2:$A$300,0)),"※미등록"))</f>
        <v/>
      </c>
      <c r="D57" s="32"/>
      <c r="E57" s="33" t="str">
        <f>IF(D57="","",IFERROR(INDEX(담당자마스터!$B$2:$B$300,MATCH(D57,담당자마스터!$A$2:$A$300,0)),"※미등록"))</f>
        <v/>
      </c>
      <c r="F57" s="32"/>
      <c r="G57" s="34"/>
      <c r="H57" s="32"/>
      <c r="I57" s="32"/>
      <c r="J57" s="31"/>
      <c r="K57" s="32"/>
      <c r="L57" s="32"/>
      <c r="M57" s="32"/>
      <c r="N57" s="32"/>
    </row>
    <row r="58" spans="1:14" ht="15" customHeight="1">
      <c r="A58" s="30"/>
      <c r="B58" s="30"/>
      <c r="C58" s="33" t="str">
        <f>IF(B58="","",IFERROR(INDEX(품목마스터!$B$2:$B$300,MATCH(B58,품목마스터!$A$2:$A$300,0)),"※미등록"))</f>
        <v/>
      </c>
      <c r="D58" s="32"/>
      <c r="E58" s="33" t="str">
        <f>IF(D58="","",IFERROR(INDEX(담당자마스터!$B$2:$B$300,MATCH(D58,담당자마스터!$A$2:$A$300,0)),"※미등록"))</f>
        <v/>
      </c>
      <c r="F58" s="32"/>
      <c r="G58" s="34"/>
      <c r="H58" s="32"/>
      <c r="I58" s="32"/>
      <c r="J58" s="31"/>
      <c r="K58" s="32"/>
      <c r="L58" s="32"/>
      <c r="M58" s="32"/>
      <c r="N58" s="32"/>
    </row>
    <row r="59" spans="1:14" ht="15" customHeight="1">
      <c r="A59" s="30"/>
      <c r="B59" s="30"/>
      <c r="C59" s="33" t="str">
        <f>IF(B59="","",IFERROR(INDEX(품목마스터!$B$2:$B$300,MATCH(B59,품목마스터!$A$2:$A$300,0)),"※미등록"))</f>
        <v/>
      </c>
      <c r="D59" s="32"/>
      <c r="E59" s="33" t="str">
        <f>IF(D59="","",IFERROR(INDEX(담당자마스터!$B$2:$B$300,MATCH(D59,담당자마스터!$A$2:$A$300,0)),"※미등록"))</f>
        <v/>
      </c>
      <c r="F59" s="32"/>
      <c r="G59" s="34"/>
      <c r="H59" s="32"/>
      <c r="I59" s="32"/>
      <c r="J59" s="31"/>
      <c r="K59" s="32"/>
      <c r="L59" s="32"/>
      <c r="M59" s="32"/>
      <c r="N59" s="32"/>
    </row>
    <row r="60" spans="1:14" ht="15" customHeight="1">
      <c r="A60" s="30"/>
      <c r="B60" s="30"/>
      <c r="C60" s="33" t="str">
        <f>IF(B60="","",IFERROR(INDEX(품목마스터!$B$2:$B$300,MATCH(B60,품목마스터!$A$2:$A$300,0)),"※미등록"))</f>
        <v/>
      </c>
      <c r="D60" s="32"/>
      <c r="E60" s="33" t="str">
        <f>IF(D60="","",IFERROR(INDEX(담당자마스터!$B$2:$B$300,MATCH(D60,담당자마스터!$A$2:$A$300,0)),"※미등록"))</f>
        <v/>
      </c>
      <c r="F60" s="32"/>
      <c r="G60" s="34"/>
      <c r="H60" s="32"/>
      <c r="I60" s="32"/>
      <c r="J60" s="31"/>
      <c r="K60" s="32"/>
      <c r="L60" s="32"/>
      <c r="M60" s="32"/>
      <c r="N60" s="32"/>
    </row>
    <row r="61" spans="1:14" ht="15" customHeight="1">
      <c r="A61" s="30"/>
      <c r="B61" s="30"/>
      <c r="C61" s="33" t="str">
        <f>IF(B61="","",IFERROR(INDEX(품목마스터!$B$2:$B$300,MATCH(B61,품목마스터!$A$2:$A$300,0)),"※미등록"))</f>
        <v/>
      </c>
      <c r="D61" s="32"/>
      <c r="E61" s="33" t="str">
        <f>IF(D61="","",IFERROR(INDEX(담당자마스터!$B$2:$B$300,MATCH(D61,담당자마스터!$A$2:$A$300,0)),"※미등록"))</f>
        <v/>
      </c>
      <c r="F61" s="32"/>
      <c r="G61" s="34"/>
      <c r="H61" s="32"/>
      <c r="I61" s="32"/>
      <c r="J61" s="31"/>
      <c r="K61" s="32"/>
      <c r="L61" s="32"/>
      <c r="M61" s="32"/>
      <c r="N61" s="32"/>
    </row>
    <row r="62" spans="1:14" ht="15" customHeight="1">
      <c r="A62" s="30"/>
      <c r="B62" s="30"/>
      <c r="C62" s="33" t="str">
        <f>IF(B62="","",IFERROR(INDEX(품목마스터!$B$2:$B$300,MATCH(B62,품목마스터!$A$2:$A$300,0)),"※미등록"))</f>
        <v/>
      </c>
      <c r="D62" s="32"/>
      <c r="E62" s="33" t="str">
        <f>IF(D62="","",IFERROR(INDEX(담당자마스터!$B$2:$B$300,MATCH(D62,담당자마스터!$A$2:$A$300,0)),"※미등록"))</f>
        <v/>
      </c>
      <c r="F62" s="32"/>
      <c r="G62" s="34"/>
      <c r="H62" s="32"/>
      <c r="I62" s="32"/>
      <c r="J62" s="31"/>
      <c r="K62" s="32"/>
      <c r="L62" s="32"/>
      <c r="M62" s="32"/>
      <c r="N62" s="32"/>
    </row>
    <row r="63" spans="1:14" ht="15" customHeight="1">
      <c r="A63" s="30"/>
      <c r="B63" s="30"/>
      <c r="C63" s="33" t="str">
        <f>IF(B63="","",IFERROR(INDEX(품목마스터!$B$2:$B$300,MATCH(B63,품목마스터!$A$2:$A$300,0)),"※미등록"))</f>
        <v/>
      </c>
      <c r="D63" s="32"/>
      <c r="E63" s="33" t="str">
        <f>IF(D63="","",IFERROR(INDEX(담당자마스터!$B$2:$B$300,MATCH(D63,담당자마스터!$A$2:$A$300,0)),"※미등록"))</f>
        <v/>
      </c>
      <c r="F63" s="32"/>
      <c r="G63" s="34"/>
      <c r="H63" s="32"/>
      <c r="I63" s="32"/>
      <c r="J63" s="31"/>
      <c r="K63" s="32"/>
      <c r="L63" s="32"/>
      <c r="M63" s="32"/>
      <c r="N63" s="32"/>
    </row>
    <row r="64" spans="1:14" ht="15" customHeight="1">
      <c r="A64" s="30"/>
      <c r="B64" s="30"/>
      <c r="C64" s="33" t="str">
        <f>IF(B64="","",IFERROR(INDEX(품목마스터!$B$2:$B$300,MATCH(B64,품목마스터!$A$2:$A$300,0)),"※미등록"))</f>
        <v/>
      </c>
      <c r="D64" s="32"/>
      <c r="E64" s="33" t="str">
        <f>IF(D64="","",IFERROR(INDEX(담당자마스터!$B$2:$B$300,MATCH(D64,담당자마스터!$A$2:$A$300,0)),"※미등록"))</f>
        <v/>
      </c>
      <c r="F64" s="32"/>
      <c r="G64" s="34"/>
      <c r="H64" s="32"/>
      <c r="I64" s="32"/>
      <c r="J64" s="31"/>
      <c r="K64" s="32"/>
      <c r="L64" s="32"/>
      <c r="M64" s="32"/>
      <c r="N64" s="32"/>
    </row>
    <row r="65" spans="1:14" ht="15" customHeight="1">
      <c r="A65" s="30"/>
      <c r="B65" s="30"/>
      <c r="C65" s="33" t="str">
        <f>IF(B65="","",IFERROR(INDEX(품목마스터!$B$2:$B$300,MATCH(B65,품목마스터!$A$2:$A$300,0)),"※미등록"))</f>
        <v/>
      </c>
      <c r="D65" s="32"/>
      <c r="E65" s="33" t="str">
        <f>IF(D65="","",IFERROR(INDEX(담당자마스터!$B$2:$B$300,MATCH(D65,담당자마스터!$A$2:$A$300,0)),"※미등록"))</f>
        <v/>
      </c>
      <c r="F65" s="32"/>
      <c r="G65" s="34"/>
      <c r="H65" s="32"/>
      <c r="I65" s="32"/>
      <c r="J65" s="31"/>
      <c r="K65" s="32"/>
      <c r="L65" s="32"/>
      <c r="M65" s="32"/>
      <c r="N65" s="32"/>
    </row>
    <row r="66" spans="1:14" ht="15" customHeight="1">
      <c r="A66" s="30"/>
      <c r="B66" s="30"/>
      <c r="C66" s="33" t="str">
        <f>IF(B66="","",IFERROR(INDEX(품목마스터!$B$2:$B$300,MATCH(B66,품목마스터!$A$2:$A$300,0)),"※미등록"))</f>
        <v/>
      </c>
      <c r="D66" s="32"/>
      <c r="E66" s="33" t="str">
        <f>IF(D66="","",IFERROR(INDEX(담당자마스터!$B$2:$B$300,MATCH(D66,담당자마스터!$A$2:$A$300,0)),"※미등록"))</f>
        <v/>
      </c>
      <c r="F66" s="32"/>
      <c r="G66" s="34"/>
      <c r="H66" s="32"/>
      <c r="I66" s="32"/>
      <c r="J66" s="31"/>
      <c r="K66" s="32"/>
      <c r="L66" s="32"/>
      <c r="M66" s="32"/>
      <c r="N66" s="32"/>
    </row>
    <row r="67" spans="1:14" ht="15" customHeight="1">
      <c r="A67" s="30"/>
      <c r="B67" s="30"/>
      <c r="C67" s="33" t="str">
        <f>IF(B67="","",IFERROR(INDEX(품목마스터!$B$2:$B$300,MATCH(B67,품목마스터!$A$2:$A$300,0)),"※미등록"))</f>
        <v/>
      </c>
      <c r="D67" s="32"/>
      <c r="E67" s="33" t="str">
        <f>IF(D67="","",IFERROR(INDEX(담당자마스터!$B$2:$B$300,MATCH(D67,담당자마스터!$A$2:$A$300,0)),"※미등록"))</f>
        <v/>
      </c>
      <c r="F67" s="32"/>
      <c r="G67" s="34"/>
      <c r="H67" s="32"/>
      <c r="I67" s="32"/>
      <c r="J67" s="31"/>
      <c r="K67" s="32"/>
      <c r="L67" s="32"/>
      <c r="M67" s="32"/>
      <c r="N67" s="32"/>
    </row>
    <row r="68" spans="1:14" ht="15" customHeight="1">
      <c r="A68" s="30"/>
      <c r="B68" s="30"/>
      <c r="C68" s="33" t="str">
        <f>IF(B68="","",IFERROR(INDEX(품목마스터!$B$2:$B$300,MATCH(B68,품목마스터!$A$2:$A$300,0)),"※미등록"))</f>
        <v/>
      </c>
      <c r="D68" s="32"/>
      <c r="E68" s="33" t="str">
        <f>IF(D68="","",IFERROR(INDEX(담당자마스터!$B$2:$B$300,MATCH(D68,담당자마스터!$A$2:$A$300,0)),"※미등록"))</f>
        <v/>
      </c>
      <c r="F68" s="32"/>
      <c r="G68" s="34"/>
      <c r="H68" s="32"/>
      <c r="I68" s="32"/>
      <c r="J68" s="31"/>
      <c r="K68" s="32"/>
      <c r="L68" s="32"/>
      <c r="M68" s="32"/>
      <c r="N68" s="32"/>
    </row>
    <row r="69" spans="1:14" ht="15" customHeight="1">
      <c r="A69" s="30"/>
      <c r="B69" s="30"/>
      <c r="C69" s="33" t="str">
        <f>IF(B69="","",IFERROR(INDEX(품목마스터!$B$2:$B$300,MATCH(B69,품목마스터!$A$2:$A$300,0)),"※미등록"))</f>
        <v/>
      </c>
      <c r="D69" s="32"/>
      <c r="E69" s="33" t="str">
        <f>IF(D69="","",IFERROR(INDEX(담당자마스터!$B$2:$B$300,MATCH(D69,담당자마스터!$A$2:$A$300,0)),"※미등록"))</f>
        <v/>
      </c>
      <c r="F69" s="32"/>
      <c r="G69" s="34"/>
      <c r="H69" s="32"/>
      <c r="I69" s="32"/>
      <c r="J69" s="31"/>
      <c r="K69" s="32"/>
      <c r="L69" s="32"/>
      <c r="M69" s="32"/>
      <c r="N69" s="32"/>
    </row>
    <row r="70" spans="1:14" ht="15" customHeight="1">
      <c r="A70" s="30"/>
      <c r="B70" s="30"/>
      <c r="C70" s="33" t="str">
        <f>IF(B70="","",IFERROR(INDEX(품목마스터!$B$2:$B$300,MATCH(B70,품목마스터!$A$2:$A$300,0)),"※미등록"))</f>
        <v/>
      </c>
      <c r="D70" s="32"/>
      <c r="E70" s="33" t="str">
        <f>IF(D70="","",IFERROR(INDEX(담당자마스터!$B$2:$B$300,MATCH(D70,담당자마스터!$A$2:$A$300,0)),"※미등록"))</f>
        <v/>
      </c>
      <c r="F70" s="32"/>
      <c r="G70" s="34"/>
      <c r="H70" s="32"/>
      <c r="I70" s="32"/>
      <c r="J70" s="31"/>
      <c r="K70" s="32"/>
      <c r="L70" s="32"/>
      <c r="M70" s="32"/>
      <c r="N70" s="32"/>
    </row>
    <row r="71" spans="1:14" ht="15" customHeight="1">
      <c r="A71" s="30"/>
      <c r="B71" s="30"/>
      <c r="C71" s="33" t="str">
        <f>IF(B71="","",IFERROR(INDEX(품목마스터!$B$2:$B$300,MATCH(B71,품목마스터!$A$2:$A$300,0)),"※미등록"))</f>
        <v/>
      </c>
      <c r="D71" s="32"/>
      <c r="E71" s="33" t="str">
        <f>IF(D71="","",IFERROR(INDEX(담당자마스터!$B$2:$B$300,MATCH(D71,담당자마스터!$A$2:$A$300,0)),"※미등록"))</f>
        <v/>
      </c>
      <c r="F71" s="32"/>
      <c r="G71" s="34"/>
      <c r="H71" s="32"/>
      <c r="I71" s="32"/>
      <c r="J71" s="31"/>
      <c r="K71" s="32"/>
      <c r="L71" s="32"/>
      <c r="M71" s="32"/>
      <c r="N71" s="32"/>
    </row>
    <row r="72" spans="1:14" ht="15" customHeight="1">
      <c r="A72" s="30"/>
      <c r="B72" s="30"/>
      <c r="C72" s="33" t="str">
        <f>IF(B72="","",IFERROR(INDEX(품목마스터!$B$2:$B$300,MATCH(B72,품목마스터!$A$2:$A$300,0)),"※미등록"))</f>
        <v/>
      </c>
      <c r="D72" s="32"/>
      <c r="E72" s="33" t="str">
        <f>IF(D72="","",IFERROR(INDEX(담당자마스터!$B$2:$B$300,MATCH(D72,담당자마스터!$A$2:$A$300,0)),"※미등록"))</f>
        <v/>
      </c>
      <c r="F72" s="32"/>
      <c r="G72" s="34"/>
      <c r="H72" s="32"/>
      <c r="I72" s="32"/>
      <c r="J72" s="31"/>
      <c r="K72" s="32"/>
      <c r="L72" s="32"/>
      <c r="M72" s="32"/>
      <c r="N72" s="32"/>
    </row>
    <row r="73" spans="1:14" ht="15" customHeight="1">
      <c r="A73" s="30"/>
      <c r="B73" s="30"/>
      <c r="C73" s="33" t="str">
        <f>IF(B73="","",IFERROR(INDEX(품목마스터!$B$2:$B$300,MATCH(B73,품목마스터!$A$2:$A$300,0)),"※미등록"))</f>
        <v/>
      </c>
      <c r="D73" s="32"/>
      <c r="E73" s="33" t="str">
        <f>IF(D73="","",IFERROR(INDEX(담당자마스터!$B$2:$B$300,MATCH(D73,담당자마스터!$A$2:$A$300,0)),"※미등록"))</f>
        <v/>
      </c>
      <c r="F73" s="32"/>
      <c r="G73" s="34"/>
      <c r="H73" s="32"/>
      <c r="I73" s="32"/>
      <c r="J73" s="31"/>
      <c r="K73" s="32"/>
      <c r="L73" s="32"/>
      <c r="M73" s="32"/>
      <c r="N73" s="32"/>
    </row>
    <row r="74" spans="1:14" ht="15" customHeight="1">
      <c r="A74" s="30"/>
      <c r="B74" s="30"/>
      <c r="C74" s="33" t="str">
        <f>IF(B74="","",IFERROR(INDEX(품목마스터!$B$2:$B$300,MATCH(B74,품목마스터!$A$2:$A$300,0)),"※미등록"))</f>
        <v/>
      </c>
      <c r="D74" s="32"/>
      <c r="E74" s="33" t="str">
        <f>IF(D74="","",IFERROR(INDEX(담당자마스터!$B$2:$B$300,MATCH(D74,담당자마스터!$A$2:$A$300,0)),"※미등록"))</f>
        <v/>
      </c>
      <c r="F74" s="32"/>
      <c r="G74" s="34"/>
      <c r="H74" s="32"/>
      <c r="I74" s="32"/>
      <c r="J74" s="31"/>
      <c r="K74" s="32"/>
      <c r="L74" s="32"/>
      <c r="M74" s="32"/>
      <c r="N74" s="32"/>
    </row>
    <row r="75" spans="1:14" ht="15" customHeight="1">
      <c r="A75" s="30"/>
      <c r="B75" s="30"/>
      <c r="C75" s="33" t="str">
        <f>IF(B75="","",IFERROR(INDEX(품목마스터!$B$2:$B$300,MATCH(B75,품목마스터!$A$2:$A$300,0)),"※미등록"))</f>
        <v/>
      </c>
      <c r="D75" s="32"/>
      <c r="E75" s="33" t="str">
        <f>IF(D75="","",IFERROR(INDEX(담당자마스터!$B$2:$B$300,MATCH(D75,담당자마스터!$A$2:$A$300,0)),"※미등록"))</f>
        <v/>
      </c>
      <c r="F75" s="32"/>
      <c r="G75" s="34"/>
      <c r="H75" s="32"/>
      <c r="I75" s="32"/>
      <c r="J75" s="31"/>
      <c r="K75" s="32"/>
      <c r="L75" s="32"/>
      <c r="M75" s="32"/>
      <c r="N75" s="32"/>
    </row>
    <row r="76" spans="1:14" ht="15" customHeight="1">
      <c r="A76" s="30"/>
      <c r="B76" s="30"/>
      <c r="C76" s="33" t="str">
        <f>IF(B76="","",IFERROR(INDEX(품목마스터!$B$2:$B$300,MATCH(B76,품목마스터!$A$2:$A$300,0)),"※미등록"))</f>
        <v/>
      </c>
      <c r="D76" s="32"/>
      <c r="E76" s="33" t="str">
        <f>IF(D76="","",IFERROR(INDEX(담당자마스터!$B$2:$B$300,MATCH(D76,담당자마스터!$A$2:$A$300,0)),"※미등록"))</f>
        <v/>
      </c>
      <c r="F76" s="32"/>
      <c r="G76" s="34"/>
      <c r="H76" s="32"/>
      <c r="I76" s="32"/>
      <c r="J76" s="31"/>
      <c r="K76" s="32"/>
      <c r="L76" s="32"/>
      <c r="M76" s="32"/>
      <c r="N76" s="32"/>
    </row>
    <row r="77" spans="1:14" ht="15" customHeight="1">
      <c r="A77" s="30"/>
      <c r="B77" s="30"/>
      <c r="C77" s="33" t="str">
        <f>IF(B77="","",IFERROR(INDEX(품목마스터!$B$2:$B$300,MATCH(B77,품목마스터!$A$2:$A$300,0)),"※미등록"))</f>
        <v/>
      </c>
      <c r="D77" s="32"/>
      <c r="E77" s="33" t="str">
        <f>IF(D77="","",IFERROR(INDEX(담당자마스터!$B$2:$B$300,MATCH(D77,담당자마스터!$A$2:$A$300,0)),"※미등록"))</f>
        <v/>
      </c>
      <c r="F77" s="32"/>
      <c r="G77" s="34"/>
      <c r="H77" s="32"/>
      <c r="I77" s="32"/>
      <c r="J77" s="31"/>
      <c r="K77" s="32"/>
      <c r="L77" s="32"/>
      <c r="M77" s="32"/>
      <c r="N77" s="32"/>
    </row>
    <row r="78" spans="1:14" ht="15" customHeight="1">
      <c r="A78" s="30"/>
      <c r="B78" s="30"/>
      <c r="C78" s="33" t="str">
        <f>IF(B78="","",IFERROR(INDEX(품목마스터!$B$2:$B$300,MATCH(B78,품목마스터!$A$2:$A$300,0)),"※미등록"))</f>
        <v/>
      </c>
      <c r="D78" s="32"/>
      <c r="E78" s="33" t="str">
        <f>IF(D78="","",IFERROR(INDEX(담당자마스터!$B$2:$B$300,MATCH(D78,담당자마스터!$A$2:$A$300,0)),"※미등록"))</f>
        <v/>
      </c>
      <c r="F78" s="32"/>
      <c r="G78" s="34"/>
      <c r="H78" s="32"/>
      <c r="I78" s="32"/>
      <c r="J78" s="31"/>
      <c r="K78" s="32"/>
      <c r="L78" s="32"/>
      <c r="M78" s="32"/>
      <c r="N78" s="32"/>
    </row>
    <row r="79" spans="1:14" ht="15" customHeight="1">
      <c r="A79" s="30"/>
      <c r="B79" s="30"/>
      <c r="C79" s="33" t="str">
        <f>IF(B79="","",IFERROR(INDEX(품목마스터!$B$2:$B$300,MATCH(B79,품목마스터!$A$2:$A$300,0)),"※미등록"))</f>
        <v/>
      </c>
      <c r="D79" s="32"/>
      <c r="E79" s="33" t="str">
        <f>IF(D79="","",IFERROR(INDEX(담당자마스터!$B$2:$B$300,MATCH(D79,담당자마스터!$A$2:$A$300,0)),"※미등록"))</f>
        <v/>
      </c>
      <c r="F79" s="32"/>
      <c r="G79" s="34"/>
      <c r="H79" s="32"/>
      <c r="I79" s="32"/>
      <c r="J79" s="31"/>
      <c r="K79" s="32"/>
      <c r="L79" s="32"/>
      <c r="M79" s="32"/>
      <c r="N79" s="32"/>
    </row>
    <row r="80" spans="1:14" ht="15" customHeight="1">
      <c r="A80" s="30"/>
      <c r="B80" s="30"/>
      <c r="C80" s="33" t="str">
        <f>IF(B80="","",IFERROR(INDEX(품목마스터!$B$2:$B$300,MATCH(B80,품목마스터!$A$2:$A$300,0)),"※미등록"))</f>
        <v/>
      </c>
      <c r="D80" s="32"/>
      <c r="E80" s="33" t="str">
        <f>IF(D80="","",IFERROR(INDEX(담당자마스터!$B$2:$B$300,MATCH(D80,담당자마스터!$A$2:$A$300,0)),"※미등록"))</f>
        <v/>
      </c>
      <c r="F80" s="32"/>
      <c r="G80" s="34"/>
      <c r="H80" s="32"/>
      <c r="I80" s="32"/>
      <c r="J80" s="31"/>
      <c r="K80" s="32"/>
      <c r="L80" s="32"/>
      <c r="M80" s="32"/>
      <c r="N80" s="32"/>
    </row>
    <row r="81" spans="1:14" ht="15" customHeight="1">
      <c r="A81" s="30"/>
      <c r="B81" s="30"/>
      <c r="C81" s="33" t="str">
        <f>IF(B81="","",IFERROR(INDEX(품목마스터!$B$2:$B$300,MATCH(B81,품목마스터!$A$2:$A$300,0)),"※미등록"))</f>
        <v/>
      </c>
      <c r="D81" s="32"/>
      <c r="E81" s="33" t="str">
        <f>IF(D81="","",IFERROR(INDEX(담당자마스터!$B$2:$B$300,MATCH(D81,담당자마스터!$A$2:$A$300,0)),"※미등록"))</f>
        <v/>
      </c>
      <c r="F81" s="32"/>
      <c r="G81" s="34"/>
      <c r="H81" s="32"/>
      <c r="I81" s="32"/>
      <c r="J81" s="31"/>
      <c r="K81" s="32"/>
      <c r="L81" s="32"/>
      <c r="M81" s="32"/>
      <c r="N81" s="32"/>
    </row>
    <row r="82" spans="1:14" ht="15" customHeight="1">
      <c r="A82" s="30"/>
      <c r="B82" s="30"/>
      <c r="C82" s="33" t="str">
        <f>IF(B82="","",IFERROR(INDEX(품목마스터!$B$2:$B$300,MATCH(B82,품목마스터!$A$2:$A$300,0)),"※미등록"))</f>
        <v/>
      </c>
      <c r="D82" s="32"/>
      <c r="E82" s="33" t="str">
        <f>IF(D82="","",IFERROR(INDEX(담당자마스터!$B$2:$B$300,MATCH(D82,담당자마스터!$A$2:$A$300,0)),"※미등록"))</f>
        <v/>
      </c>
      <c r="F82" s="32"/>
      <c r="G82" s="34"/>
      <c r="H82" s="32"/>
      <c r="I82" s="32"/>
      <c r="J82" s="31"/>
      <c r="K82" s="32"/>
      <c r="L82" s="32"/>
      <c r="M82" s="32"/>
      <c r="N82" s="32"/>
    </row>
    <row r="83" spans="1:14" ht="15" customHeight="1">
      <c r="A83" s="30"/>
      <c r="B83" s="30"/>
      <c r="C83" s="33" t="str">
        <f>IF(B83="","",IFERROR(INDEX(품목마스터!$B$2:$B$300,MATCH(B83,품목마스터!$A$2:$A$300,0)),"※미등록"))</f>
        <v/>
      </c>
      <c r="D83" s="32"/>
      <c r="E83" s="33" t="str">
        <f>IF(D83="","",IFERROR(INDEX(담당자마스터!$B$2:$B$300,MATCH(D83,담당자마스터!$A$2:$A$300,0)),"※미등록"))</f>
        <v/>
      </c>
      <c r="F83" s="32"/>
      <c r="G83" s="34"/>
      <c r="H83" s="32"/>
      <c r="I83" s="32"/>
      <c r="J83" s="31"/>
      <c r="K83" s="32"/>
      <c r="L83" s="32"/>
      <c r="M83" s="32"/>
      <c r="N83" s="32"/>
    </row>
    <row r="84" spans="1:14" ht="15" customHeight="1">
      <c r="A84" s="30"/>
      <c r="B84" s="30"/>
      <c r="C84" s="33" t="str">
        <f>IF(B84="","",IFERROR(INDEX(품목마스터!$B$2:$B$300,MATCH(B84,품목마스터!$A$2:$A$300,0)),"※미등록"))</f>
        <v/>
      </c>
      <c r="D84" s="32"/>
      <c r="E84" s="33" t="str">
        <f>IF(D84="","",IFERROR(INDEX(담당자마스터!$B$2:$B$300,MATCH(D84,담당자마스터!$A$2:$A$300,0)),"※미등록"))</f>
        <v/>
      </c>
      <c r="F84" s="32"/>
      <c r="G84" s="34"/>
      <c r="H84" s="32"/>
      <c r="I84" s="32"/>
      <c r="J84" s="31"/>
      <c r="K84" s="32"/>
      <c r="L84" s="32"/>
      <c r="M84" s="32"/>
      <c r="N84" s="32"/>
    </row>
    <row r="85" spans="1:14" ht="15" customHeight="1">
      <c r="A85" s="30"/>
      <c r="B85" s="30"/>
      <c r="C85" s="33" t="str">
        <f>IF(B85="","",IFERROR(INDEX(품목마스터!$B$2:$B$300,MATCH(B85,품목마스터!$A$2:$A$300,0)),"※미등록"))</f>
        <v/>
      </c>
      <c r="D85" s="32"/>
      <c r="E85" s="33" t="str">
        <f>IF(D85="","",IFERROR(INDEX(담당자마스터!$B$2:$B$300,MATCH(D85,담당자마스터!$A$2:$A$300,0)),"※미등록"))</f>
        <v/>
      </c>
      <c r="F85" s="32"/>
      <c r="G85" s="34"/>
      <c r="H85" s="32"/>
      <c r="I85" s="32"/>
      <c r="J85" s="31"/>
      <c r="K85" s="32"/>
      <c r="L85" s="32"/>
      <c r="M85" s="32"/>
      <c r="N85" s="32"/>
    </row>
    <row r="86" spans="1:14" ht="15" customHeight="1">
      <c r="A86" s="30"/>
      <c r="B86" s="30"/>
      <c r="C86" s="33" t="str">
        <f>IF(B86="","",IFERROR(INDEX(품목마스터!$B$2:$B$300,MATCH(B86,품목마스터!$A$2:$A$300,0)),"※미등록"))</f>
        <v/>
      </c>
      <c r="D86" s="32"/>
      <c r="E86" s="33" t="str">
        <f>IF(D86="","",IFERROR(INDEX(담당자마스터!$B$2:$B$300,MATCH(D86,담당자마스터!$A$2:$A$300,0)),"※미등록"))</f>
        <v/>
      </c>
      <c r="F86" s="32"/>
      <c r="G86" s="34"/>
      <c r="H86" s="32"/>
      <c r="I86" s="32"/>
      <c r="J86" s="31"/>
      <c r="K86" s="32"/>
      <c r="L86" s="32"/>
      <c r="M86" s="32"/>
      <c r="N86" s="32"/>
    </row>
    <row r="87" spans="1:14" ht="15" customHeight="1">
      <c r="A87" s="30"/>
      <c r="B87" s="30"/>
      <c r="C87" s="33" t="str">
        <f>IF(B87="","",IFERROR(INDEX(품목마스터!$B$2:$B$300,MATCH(B87,품목마스터!$A$2:$A$300,0)),"※미등록"))</f>
        <v/>
      </c>
      <c r="D87" s="32"/>
      <c r="E87" s="33" t="str">
        <f>IF(D87="","",IFERROR(INDEX(담당자마스터!$B$2:$B$300,MATCH(D87,담당자마스터!$A$2:$A$300,0)),"※미등록"))</f>
        <v/>
      </c>
      <c r="F87" s="32"/>
      <c r="G87" s="34"/>
      <c r="H87" s="32"/>
      <c r="I87" s="32"/>
      <c r="J87" s="31"/>
      <c r="K87" s="32"/>
      <c r="L87" s="32"/>
      <c r="M87" s="32"/>
      <c r="N87" s="32"/>
    </row>
    <row r="88" spans="1:14" ht="15" customHeight="1">
      <c r="A88" s="30"/>
      <c r="B88" s="30"/>
      <c r="C88" s="33" t="str">
        <f>IF(B88="","",IFERROR(INDEX(품목마스터!$B$2:$B$300,MATCH(B88,품목마스터!$A$2:$A$300,0)),"※미등록"))</f>
        <v/>
      </c>
      <c r="D88" s="32"/>
      <c r="E88" s="33" t="str">
        <f>IF(D88="","",IFERROR(INDEX(담당자마스터!$B$2:$B$300,MATCH(D88,담당자마스터!$A$2:$A$300,0)),"※미등록"))</f>
        <v/>
      </c>
      <c r="F88" s="32"/>
      <c r="G88" s="34"/>
      <c r="H88" s="32"/>
      <c r="I88" s="32"/>
      <c r="J88" s="31"/>
      <c r="K88" s="32"/>
      <c r="L88" s="32"/>
      <c r="M88" s="32"/>
      <c r="N88" s="32"/>
    </row>
    <row r="89" spans="1:14" ht="15" customHeight="1">
      <c r="A89" s="30"/>
      <c r="B89" s="30"/>
      <c r="C89" s="33" t="str">
        <f>IF(B89="","",IFERROR(INDEX(품목마스터!$B$2:$B$300,MATCH(B89,품목마스터!$A$2:$A$300,0)),"※미등록"))</f>
        <v/>
      </c>
      <c r="D89" s="32"/>
      <c r="E89" s="33" t="str">
        <f>IF(D89="","",IFERROR(INDEX(담당자마스터!$B$2:$B$300,MATCH(D89,담당자마스터!$A$2:$A$300,0)),"※미등록"))</f>
        <v/>
      </c>
      <c r="F89" s="32"/>
      <c r="G89" s="34"/>
      <c r="H89" s="32"/>
      <c r="I89" s="32"/>
      <c r="J89" s="31"/>
      <c r="K89" s="32"/>
      <c r="L89" s="32"/>
      <c r="M89" s="32"/>
      <c r="N89" s="32"/>
    </row>
    <row r="90" spans="1:14" ht="15" customHeight="1">
      <c r="A90" s="30"/>
      <c r="B90" s="30"/>
      <c r="C90" s="33" t="str">
        <f>IF(B90="","",IFERROR(INDEX(품목마스터!$B$2:$B$300,MATCH(B90,품목마스터!$A$2:$A$300,0)),"※미등록"))</f>
        <v/>
      </c>
      <c r="D90" s="32"/>
      <c r="E90" s="33" t="str">
        <f>IF(D90="","",IFERROR(INDEX(담당자마스터!$B$2:$B$300,MATCH(D90,담당자마스터!$A$2:$A$300,0)),"※미등록"))</f>
        <v/>
      </c>
      <c r="F90" s="32"/>
      <c r="G90" s="34"/>
      <c r="H90" s="32"/>
      <c r="I90" s="32"/>
      <c r="J90" s="31"/>
      <c r="K90" s="32"/>
      <c r="L90" s="32"/>
      <c r="M90" s="32"/>
      <c r="N90" s="32"/>
    </row>
    <row r="91" spans="1:14" ht="15" customHeight="1">
      <c r="A91" s="30"/>
      <c r="B91" s="30"/>
      <c r="C91" s="33" t="str">
        <f>IF(B91="","",IFERROR(INDEX(품목마스터!$B$2:$B$300,MATCH(B91,품목마스터!$A$2:$A$300,0)),"※미등록"))</f>
        <v/>
      </c>
      <c r="D91" s="32"/>
      <c r="E91" s="33" t="str">
        <f>IF(D91="","",IFERROR(INDEX(담당자마스터!$B$2:$B$300,MATCH(D91,담당자마스터!$A$2:$A$300,0)),"※미등록"))</f>
        <v/>
      </c>
      <c r="F91" s="32"/>
      <c r="G91" s="34"/>
      <c r="H91" s="32"/>
      <c r="I91" s="32"/>
      <c r="J91" s="31"/>
      <c r="K91" s="32"/>
      <c r="L91" s="32"/>
      <c r="M91" s="32"/>
      <c r="N91" s="32"/>
    </row>
    <row r="92" spans="1:14" ht="15" customHeight="1">
      <c r="A92" s="30"/>
      <c r="B92" s="30"/>
      <c r="C92" s="33" t="str">
        <f>IF(B92="","",IFERROR(INDEX(품목마스터!$B$2:$B$300,MATCH(B92,품목마스터!$A$2:$A$300,0)),"※미등록"))</f>
        <v/>
      </c>
      <c r="D92" s="32"/>
      <c r="E92" s="33" t="str">
        <f>IF(D92="","",IFERROR(INDEX(담당자마스터!$B$2:$B$300,MATCH(D92,담당자마스터!$A$2:$A$300,0)),"※미등록"))</f>
        <v/>
      </c>
      <c r="F92" s="32"/>
      <c r="G92" s="34"/>
      <c r="H92" s="32"/>
      <c r="I92" s="32"/>
      <c r="J92" s="31"/>
      <c r="K92" s="32"/>
      <c r="L92" s="32"/>
      <c r="M92" s="32"/>
      <c r="N92" s="32"/>
    </row>
    <row r="93" spans="1:14" ht="15" customHeight="1">
      <c r="A93" s="30"/>
      <c r="B93" s="30"/>
      <c r="C93" s="33" t="str">
        <f>IF(B93="","",IFERROR(INDEX(품목마스터!$B$2:$B$300,MATCH(B93,품목마스터!$A$2:$A$300,0)),"※미등록"))</f>
        <v/>
      </c>
      <c r="D93" s="32"/>
      <c r="E93" s="33" t="str">
        <f>IF(D93="","",IFERROR(INDEX(담당자마스터!$B$2:$B$300,MATCH(D93,담당자마스터!$A$2:$A$300,0)),"※미등록"))</f>
        <v/>
      </c>
      <c r="F93" s="32"/>
      <c r="G93" s="34"/>
      <c r="H93" s="32"/>
      <c r="I93" s="32"/>
      <c r="J93" s="31"/>
      <c r="K93" s="32"/>
      <c r="L93" s="32"/>
      <c r="M93" s="32"/>
      <c r="N93" s="32"/>
    </row>
    <row r="94" spans="1:14" ht="15" customHeight="1">
      <c r="A94" s="30"/>
      <c r="B94" s="30"/>
      <c r="C94" s="33" t="str">
        <f>IF(B94="","",IFERROR(INDEX(품목마스터!$B$2:$B$300,MATCH(B94,품목마스터!$A$2:$A$300,0)),"※미등록"))</f>
        <v/>
      </c>
      <c r="D94" s="32"/>
      <c r="E94" s="33" t="str">
        <f>IF(D94="","",IFERROR(INDEX(담당자마스터!$B$2:$B$300,MATCH(D94,담당자마스터!$A$2:$A$300,0)),"※미등록"))</f>
        <v/>
      </c>
      <c r="F94" s="32"/>
      <c r="G94" s="34"/>
      <c r="H94" s="32"/>
      <c r="I94" s="32"/>
      <c r="J94" s="31"/>
      <c r="K94" s="32"/>
      <c r="L94" s="32"/>
      <c r="M94" s="32"/>
      <c r="N94" s="32"/>
    </row>
    <row r="95" spans="1:14" ht="15" customHeight="1">
      <c r="A95" s="30"/>
      <c r="B95" s="30"/>
      <c r="C95" s="33" t="str">
        <f>IF(B95="","",IFERROR(INDEX(품목마스터!$B$2:$B$300,MATCH(B95,품목마스터!$A$2:$A$300,0)),"※미등록"))</f>
        <v/>
      </c>
      <c r="D95" s="32"/>
      <c r="E95" s="33" t="str">
        <f>IF(D95="","",IFERROR(INDEX(담당자마스터!$B$2:$B$300,MATCH(D95,담당자마스터!$A$2:$A$300,0)),"※미등록"))</f>
        <v/>
      </c>
      <c r="F95" s="32"/>
      <c r="G95" s="34"/>
      <c r="H95" s="32"/>
      <c r="I95" s="32"/>
      <c r="J95" s="31"/>
      <c r="K95" s="32"/>
      <c r="L95" s="32"/>
      <c r="M95" s="32"/>
      <c r="N95" s="32"/>
    </row>
    <row r="96" spans="1:14" ht="15" customHeight="1">
      <c r="A96" s="30"/>
      <c r="B96" s="30"/>
      <c r="C96" s="33" t="str">
        <f>IF(B96="","",IFERROR(INDEX(품목마스터!$B$2:$B$300,MATCH(B96,품목마스터!$A$2:$A$300,0)),"※미등록"))</f>
        <v/>
      </c>
      <c r="D96" s="32"/>
      <c r="E96" s="33" t="str">
        <f>IF(D96="","",IFERROR(INDEX(담당자마스터!$B$2:$B$300,MATCH(D96,담당자마스터!$A$2:$A$300,0)),"※미등록"))</f>
        <v/>
      </c>
      <c r="F96" s="32"/>
      <c r="G96" s="34"/>
      <c r="H96" s="32"/>
      <c r="I96" s="32"/>
      <c r="J96" s="31"/>
      <c r="K96" s="32"/>
      <c r="L96" s="32"/>
      <c r="M96" s="32"/>
      <c r="N96" s="32"/>
    </row>
    <row r="97" spans="1:14" ht="15" customHeight="1">
      <c r="A97" s="30"/>
      <c r="B97" s="30"/>
      <c r="C97" s="33" t="str">
        <f>IF(B97="","",IFERROR(INDEX(품목마스터!$B$2:$B$300,MATCH(B97,품목마스터!$A$2:$A$300,0)),"※미등록"))</f>
        <v/>
      </c>
      <c r="D97" s="32"/>
      <c r="E97" s="33" t="str">
        <f>IF(D97="","",IFERROR(INDEX(담당자마스터!$B$2:$B$300,MATCH(D97,담당자마스터!$A$2:$A$300,0)),"※미등록"))</f>
        <v/>
      </c>
      <c r="F97" s="32"/>
      <c r="G97" s="34"/>
      <c r="H97" s="32"/>
      <c r="I97" s="32"/>
      <c r="J97" s="31"/>
      <c r="K97" s="32"/>
      <c r="L97" s="32"/>
      <c r="M97" s="32"/>
      <c r="N97" s="32"/>
    </row>
    <row r="98" spans="1:14" ht="15" customHeight="1">
      <c r="A98" s="30"/>
      <c r="B98" s="30"/>
      <c r="C98" s="33" t="str">
        <f>IF(B98="","",IFERROR(INDEX(품목마스터!$B$2:$B$300,MATCH(B98,품목마스터!$A$2:$A$300,0)),"※미등록"))</f>
        <v/>
      </c>
      <c r="D98" s="32"/>
      <c r="E98" s="33" t="str">
        <f>IF(D98="","",IFERROR(INDEX(담당자마스터!$B$2:$B$300,MATCH(D98,담당자마스터!$A$2:$A$300,0)),"※미등록"))</f>
        <v/>
      </c>
      <c r="F98" s="32"/>
      <c r="G98" s="34"/>
      <c r="H98" s="32"/>
      <c r="I98" s="32"/>
      <c r="J98" s="31"/>
      <c r="K98" s="32"/>
      <c r="L98" s="32"/>
      <c r="M98" s="32"/>
      <c r="N98" s="32"/>
    </row>
    <row r="99" spans="1:14" ht="15" customHeight="1">
      <c r="A99" s="30"/>
      <c r="B99" s="30"/>
      <c r="C99" s="33" t="str">
        <f>IF(B99="","",IFERROR(INDEX(품목마스터!$B$2:$B$300,MATCH(B99,품목마스터!$A$2:$A$300,0)),"※미등록"))</f>
        <v/>
      </c>
      <c r="D99" s="32"/>
      <c r="E99" s="33" t="str">
        <f>IF(D99="","",IFERROR(INDEX(담당자마스터!$B$2:$B$300,MATCH(D99,담당자마스터!$A$2:$A$300,0)),"※미등록"))</f>
        <v/>
      </c>
      <c r="F99" s="32"/>
      <c r="G99" s="34"/>
      <c r="H99" s="32"/>
      <c r="I99" s="32"/>
      <c r="J99" s="31"/>
      <c r="K99" s="32"/>
      <c r="L99" s="32"/>
      <c r="M99" s="32"/>
      <c r="N99" s="32"/>
    </row>
    <row r="100" spans="1:14" ht="15" customHeight="1">
      <c r="A100" s="30"/>
      <c r="B100" s="30"/>
      <c r="C100" s="33" t="str">
        <f>IF(B100="","",IFERROR(INDEX(품목마스터!$B$2:$B$300,MATCH(B100,품목마스터!$A$2:$A$300,0)),"※미등록"))</f>
        <v/>
      </c>
      <c r="D100" s="32"/>
      <c r="E100" s="33" t="str">
        <f>IF(D100="","",IFERROR(INDEX(담당자마스터!$B$2:$B$300,MATCH(D100,담당자마스터!$A$2:$A$300,0)),"※미등록"))</f>
        <v/>
      </c>
      <c r="F100" s="32"/>
      <c r="G100" s="34"/>
      <c r="H100" s="32"/>
      <c r="I100" s="32"/>
      <c r="J100" s="31"/>
      <c r="K100" s="32"/>
      <c r="L100" s="32"/>
      <c r="M100" s="32"/>
      <c r="N100" s="32"/>
    </row>
    <row r="101" spans="1:14" ht="15" customHeight="1">
      <c r="A101" s="30"/>
      <c r="B101" s="30"/>
      <c r="C101" s="33" t="str">
        <f>IF(B101="","",IFERROR(INDEX(품목마스터!$B$2:$B$300,MATCH(B101,품목마스터!$A$2:$A$300,0)),"※미등록"))</f>
        <v/>
      </c>
      <c r="D101" s="32"/>
      <c r="E101" s="33" t="str">
        <f>IF(D101="","",IFERROR(INDEX(담당자마스터!$B$2:$B$300,MATCH(D101,담당자마스터!$A$2:$A$300,0)),"※미등록"))</f>
        <v/>
      </c>
      <c r="F101" s="32"/>
      <c r="G101" s="34"/>
      <c r="H101" s="32"/>
      <c r="I101" s="32"/>
      <c r="J101" s="31"/>
      <c r="K101" s="32"/>
      <c r="L101" s="32"/>
      <c r="M101" s="32"/>
      <c r="N101" s="32"/>
    </row>
    <row r="102" spans="1:14" ht="15" customHeight="1">
      <c r="A102" s="30"/>
      <c r="B102" s="30"/>
      <c r="C102" s="33" t="str">
        <f>IF(B102="","",IFERROR(INDEX(품목마스터!$B$2:$B$300,MATCH(B102,품목마스터!$A$2:$A$300,0)),"※미등록"))</f>
        <v/>
      </c>
      <c r="D102" s="32"/>
      <c r="E102" s="33" t="str">
        <f>IF(D102="","",IFERROR(INDEX(담당자마스터!$B$2:$B$300,MATCH(D102,담당자마스터!$A$2:$A$300,0)),"※미등록"))</f>
        <v/>
      </c>
      <c r="F102" s="32"/>
      <c r="G102" s="34"/>
      <c r="H102" s="32"/>
      <c r="I102" s="32"/>
      <c r="J102" s="31"/>
      <c r="K102" s="32"/>
      <c r="L102" s="32"/>
      <c r="M102" s="32"/>
      <c r="N102" s="32"/>
    </row>
    <row r="103" spans="1:14" ht="15" customHeight="1">
      <c r="A103" s="30"/>
      <c r="B103" s="30"/>
      <c r="C103" s="33" t="str">
        <f>IF(B103="","",IFERROR(INDEX(품목마스터!$B$2:$B$300,MATCH(B103,품목마스터!$A$2:$A$300,0)),"※미등록"))</f>
        <v/>
      </c>
      <c r="D103" s="32"/>
      <c r="E103" s="33" t="str">
        <f>IF(D103="","",IFERROR(INDEX(담당자마스터!$B$2:$B$300,MATCH(D103,담당자마스터!$A$2:$A$300,0)),"※미등록"))</f>
        <v/>
      </c>
      <c r="F103" s="32"/>
      <c r="G103" s="34"/>
      <c r="H103" s="32"/>
      <c r="I103" s="32"/>
      <c r="J103" s="31"/>
      <c r="K103" s="32"/>
      <c r="L103" s="32"/>
      <c r="M103" s="32"/>
      <c r="N103" s="32"/>
    </row>
    <row r="104" spans="1:14" ht="15" customHeight="1">
      <c r="A104" s="30"/>
      <c r="B104" s="30"/>
      <c r="C104" s="33" t="str">
        <f>IF(B104="","",IFERROR(INDEX(품목마스터!$B$2:$B$300,MATCH(B104,품목마스터!$A$2:$A$300,0)),"※미등록"))</f>
        <v/>
      </c>
      <c r="D104" s="32"/>
      <c r="E104" s="33" t="str">
        <f>IF(D104="","",IFERROR(INDEX(담당자마스터!$B$2:$B$300,MATCH(D104,담당자마스터!$A$2:$A$300,0)),"※미등록"))</f>
        <v/>
      </c>
      <c r="F104" s="32"/>
      <c r="G104" s="34"/>
      <c r="H104" s="32"/>
      <c r="I104" s="32"/>
      <c r="J104" s="31"/>
      <c r="K104" s="32"/>
      <c r="L104" s="32"/>
      <c r="M104" s="32"/>
      <c r="N104" s="32"/>
    </row>
    <row r="105" spans="1:14" ht="15" customHeight="1">
      <c r="A105" s="30"/>
      <c r="B105" s="30"/>
      <c r="C105" s="33" t="str">
        <f>IF(B105="","",IFERROR(INDEX(품목마스터!$B$2:$B$300,MATCH(B105,품목마스터!$A$2:$A$300,0)),"※미등록"))</f>
        <v/>
      </c>
      <c r="D105" s="32"/>
      <c r="E105" s="33" t="str">
        <f>IF(D105="","",IFERROR(INDEX(담당자마스터!$B$2:$B$300,MATCH(D105,담당자마스터!$A$2:$A$300,0)),"※미등록"))</f>
        <v/>
      </c>
      <c r="F105" s="32"/>
      <c r="G105" s="34"/>
      <c r="H105" s="32"/>
      <c r="I105" s="32"/>
      <c r="J105" s="31"/>
      <c r="K105" s="32"/>
      <c r="L105" s="32"/>
      <c r="M105" s="32"/>
      <c r="N105" s="32"/>
    </row>
    <row r="106" spans="1:14" ht="15" customHeight="1">
      <c r="A106" s="30"/>
      <c r="B106" s="30"/>
      <c r="C106" s="33" t="str">
        <f>IF(B106="","",IFERROR(INDEX(품목마스터!$B$2:$B$300,MATCH(B106,품목마스터!$A$2:$A$300,0)),"※미등록"))</f>
        <v/>
      </c>
      <c r="D106" s="32"/>
      <c r="E106" s="33" t="str">
        <f>IF(D106="","",IFERROR(INDEX(담당자마스터!$B$2:$B$300,MATCH(D106,담당자마스터!$A$2:$A$300,0)),"※미등록"))</f>
        <v/>
      </c>
      <c r="F106" s="32"/>
      <c r="G106" s="34"/>
      <c r="H106" s="32"/>
      <c r="I106" s="32"/>
      <c r="J106" s="31"/>
      <c r="K106" s="32"/>
      <c r="L106" s="32"/>
      <c r="M106" s="32"/>
      <c r="N106" s="32"/>
    </row>
    <row r="107" spans="1:14" ht="15" customHeight="1">
      <c r="A107" s="30"/>
      <c r="B107" s="30"/>
      <c r="C107" s="33" t="str">
        <f>IF(B107="","",IFERROR(INDEX(품목마스터!$B$2:$B$300,MATCH(B107,품목마스터!$A$2:$A$300,0)),"※미등록"))</f>
        <v/>
      </c>
      <c r="D107" s="32"/>
      <c r="E107" s="33" t="str">
        <f>IF(D107="","",IFERROR(INDEX(담당자마스터!$B$2:$B$300,MATCH(D107,담당자마스터!$A$2:$A$300,0)),"※미등록"))</f>
        <v/>
      </c>
      <c r="F107" s="32"/>
      <c r="G107" s="34"/>
      <c r="H107" s="32"/>
      <c r="I107" s="32"/>
      <c r="J107" s="31"/>
      <c r="K107" s="32"/>
      <c r="L107" s="32"/>
      <c r="M107" s="32"/>
      <c r="N107" s="32"/>
    </row>
    <row r="108" spans="1:14" ht="15" customHeight="1">
      <c r="A108" s="30"/>
      <c r="B108" s="30"/>
      <c r="C108" s="33" t="str">
        <f>IF(B108="","",IFERROR(INDEX(품목마스터!$B$2:$B$300,MATCH(B108,품목마스터!$A$2:$A$300,0)),"※미등록"))</f>
        <v/>
      </c>
      <c r="D108" s="32"/>
      <c r="E108" s="33" t="str">
        <f>IF(D108="","",IFERROR(INDEX(담당자마스터!$B$2:$B$300,MATCH(D108,담당자마스터!$A$2:$A$300,0)),"※미등록"))</f>
        <v/>
      </c>
      <c r="F108" s="32"/>
      <c r="G108" s="34"/>
      <c r="H108" s="32"/>
      <c r="I108" s="32"/>
      <c r="J108" s="31"/>
      <c r="K108" s="32"/>
      <c r="L108" s="32"/>
      <c r="M108" s="32"/>
      <c r="N108" s="32"/>
    </row>
    <row r="109" spans="1:14" ht="15" customHeight="1">
      <c r="A109" s="30"/>
      <c r="B109" s="30"/>
      <c r="C109" s="33" t="str">
        <f>IF(B109="","",IFERROR(INDEX(품목마스터!$B$2:$B$300,MATCH(B109,품목마스터!$A$2:$A$300,0)),"※미등록"))</f>
        <v/>
      </c>
      <c r="D109" s="32"/>
      <c r="E109" s="33" t="str">
        <f>IF(D109="","",IFERROR(INDEX(담당자마스터!$B$2:$B$300,MATCH(D109,담당자마스터!$A$2:$A$300,0)),"※미등록"))</f>
        <v/>
      </c>
      <c r="F109" s="32"/>
      <c r="G109" s="34"/>
      <c r="H109" s="32"/>
      <c r="I109" s="32"/>
      <c r="J109" s="31"/>
      <c r="K109" s="32"/>
      <c r="L109" s="32"/>
      <c r="M109" s="32"/>
      <c r="N109" s="32"/>
    </row>
    <row r="110" spans="1:14" ht="15" customHeight="1">
      <c r="A110" s="30"/>
      <c r="B110" s="30"/>
      <c r="C110" s="33" t="str">
        <f>IF(B110="","",IFERROR(INDEX(품목마스터!$B$2:$B$300,MATCH(B110,품목마스터!$A$2:$A$300,0)),"※미등록"))</f>
        <v/>
      </c>
      <c r="D110" s="32"/>
      <c r="E110" s="33" t="str">
        <f>IF(D110="","",IFERROR(INDEX(담당자마스터!$B$2:$B$300,MATCH(D110,담당자마스터!$A$2:$A$300,0)),"※미등록"))</f>
        <v/>
      </c>
      <c r="F110" s="32"/>
      <c r="G110" s="34"/>
      <c r="H110" s="32"/>
      <c r="I110" s="32"/>
      <c r="J110" s="31"/>
      <c r="K110" s="32"/>
      <c r="L110" s="32"/>
      <c r="M110" s="32"/>
      <c r="N110" s="32"/>
    </row>
    <row r="111" spans="1:14" ht="15" customHeight="1">
      <c r="A111" s="30"/>
      <c r="B111" s="30"/>
      <c r="C111" s="33" t="str">
        <f>IF(B111="","",IFERROR(INDEX(품목마스터!$B$2:$B$300,MATCH(B111,품목마스터!$A$2:$A$300,0)),"※미등록"))</f>
        <v/>
      </c>
      <c r="D111" s="32"/>
      <c r="E111" s="33" t="str">
        <f>IF(D111="","",IFERROR(INDEX(담당자마스터!$B$2:$B$300,MATCH(D111,담당자마스터!$A$2:$A$300,0)),"※미등록"))</f>
        <v/>
      </c>
      <c r="F111" s="32"/>
      <c r="G111" s="34"/>
      <c r="H111" s="32"/>
      <c r="I111" s="32"/>
      <c r="J111" s="31"/>
      <c r="K111" s="32"/>
      <c r="L111" s="32"/>
      <c r="M111" s="32"/>
      <c r="N111" s="32"/>
    </row>
    <row r="112" spans="1:14" ht="15" customHeight="1">
      <c r="A112" s="30"/>
      <c r="B112" s="30"/>
      <c r="C112" s="33" t="str">
        <f>IF(B112="","",IFERROR(INDEX(품목마스터!$B$2:$B$300,MATCH(B112,품목마스터!$A$2:$A$300,0)),"※미등록"))</f>
        <v/>
      </c>
      <c r="D112" s="32"/>
      <c r="E112" s="33" t="str">
        <f>IF(D112="","",IFERROR(INDEX(담당자마스터!$B$2:$B$300,MATCH(D112,담당자마스터!$A$2:$A$300,0)),"※미등록"))</f>
        <v/>
      </c>
      <c r="F112" s="32"/>
      <c r="G112" s="34"/>
      <c r="H112" s="32"/>
      <c r="I112" s="32"/>
      <c r="J112" s="31"/>
      <c r="K112" s="32"/>
      <c r="L112" s="32"/>
      <c r="M112" s="32"/>
      <c r="N112" s="32"/>
    </row>
    <row r="113" spans="1:14" ht="15" customHeight="1">
      <c r="A113" s="30"/>
      <c r="B113" s="30"/>
      <c r="C113" s="33" t="str">
        <f>IF(B113="","",IFERROR(INDEX(품목마스터!$B$2:$B$300,MATCH(B113,품목마스터!$A$2:$A$300,0)),"※미등록"))</f>
        <v/>
      </c>
      <c r="D113" s="32"/>
      <c r="E113" s="33" t="str">
        <f>IF(D113="","",IFERROR(INDEX(담당자마스터!$B$2:$B$300,MATCH(D113,담당자마스터!$A$2:$A$300,0)),"※미등록"))</f>
        <v/>
      </c>
      <c r="F113" s="32"/>
      <c r="G113" s="34"/>
      <c r="H113" s="32"/>
      <c r="I113" s="32"/>
      <c r="J113" s="31"/>
      <c r="K113" s="32"/>
      <c r="L113" s="32"/>
      <c r="M113" s="32"/>
      <c r="N113" s="32"/>
    </row>
    <row r="114" spans="1:14" ht="15" customHeight="1">
      <c r="A114" s="30"/>
      <c r="B114" s="30"/>
      <c r="C114" s="33" t="str">
        <f>IF(B114="","",IFERROR(INDEX(품목마스터!$B$2:$B$300,MATCH(B114,품목마스터!$A$2:$A$300,0)),"※미등록"))</f>
        <v/>
      </c>
      <c r="D114" s="32"/>
      <c r="E114" s="33" t="str">
        <f>IF(D114="","",IFERROR(INDEX(담당자마스터!$B$2:$B$300,MATCH(D114,담당자마스터!$A$2:$A$300,0)),"※미등록"))</f>
        <v/>
      </c>
      <c r="F114" s="32"/>
      <c r="G114" s="34"/>
      <c r="H114" s="32"/>
      <c r="I114" s="32"/>
      <c r="J114" s="31"/>
      <c r="K114" s="32"/>
      <c r="L114" s="32"/>
      <c r="M114" s="32"/>
      <c r="N114" s="32"/>
    </row>
    <row r="115" spans="1:14" ht="15" customHeight="1">
      <c r="A115" s="30"/>
      <c r="B115" s="30"/>
      <c r="C115" s="33" t="str">
        <f>IF(B115="","",IFERROR(INDEX(품목마스터!$B$2:$B$300,MATCH(B115,품목마스터!$A$2:$A$300,0)),"※미등록"))</f>
        <v/>
      </c>
      <c r="D115" s="32"/>
      <c r="E115" s="33" t="str">
        <f>IF(D115="","",IFERROR(INDEX(담당자마스터!$B$2:$B$300,MATCH(D115,담당자마스터!$A$2:$A$300,0)),"※미등록"))</f>
        <v/>
      </c>
      <c r="F115" s="32"/>
      <c r="G115" s="34"/>
      <c r="H115" s="32"/>
      <c r="I115" s="32"/>
      <c r="J115" s="31"/>
      <c r="K115" s="32"/>
      <c r="L115" s="32"/>
      <c r="M115" s="32"/>
      <c r="N115" s="32"/>
    </row>
    <row r="116" spans="1:14" ht="15" customHeight="1">
      <c r="A116" s="30"/>
      <c r="B116" s="30"/>
      <c r="C116" s="33" t="str">
        <f>IF(B116="","",IFERROR(INDEX(품목마스터!$B$2:$B$300,MATCH(B116,품목마스터!$A$2:$A$300,0)),"※미등록"))</f>
        <v/>
      </c>
      <c r="D116" s="32"/>
      <c r="E116" s="33" t="str">
        <f>IF(D116="","",IFERROR(INDEX(담당자마스터!$B$2:$B$300,MATCH(D116,담당자마스터!$A$2:$A$300,0)),"※미등록"))</f>
        <v/>
      </c>
      <c r="F116" s="32"/>
      <c r="G116" s="34"/>
      <c r="H116" s="32"/>
      <c r="I116" s="32"/>
      <c r="J116" s="31"/>
      <c r="K116" s="32"/>
      <c r="L116" s="32"/>
      <c r="M116" s="32"/>
      <c r="N116" s="32"/>
    </row>
    <row r="117" spans="1:14" ht="15" customHeight="1">
      <c r="A117" s="30"/>
      <c r="B117" s="30"/>
      <c r="C117" s="33" t="str">
        <f>IF(B117="","",IFERROR(INDEX(품목마스터!$B$2:$B$300,MATCH(B117,품목마스터!$A$2:$A$300,0)),"※미등록"))</f>
        <v/>
      </c>
      <c r="D117" s="32"/>
      <c r="E117" s="33" t="str">
        <f>IF(D117="","",IFERROR(INDEX(담당자마스터!$B$2:$B$300,MATCH(D117,담당자마스터!$A$2:$A$300,0)),"※미등록"))</f>
        <v/>
      </c>
      <c r="F117" s="32"/>
      <c r="G117" s="34"/>
      <c r="H117" s="32"/>
      <c r="I117" s="32"/>
      <c r="J117" s="31"/>
      <c r="K117" s="32"/>
      <c r="L117" s="32"/>
      <c r="M117" s="32"/>
      <c r="N117" s="32"/>
    </row>
    <row r="118" spans="1:14" ht="15" customHeight="1">
      <c r="A118" s="30"/>
      <c r="B118" s="30"/>
      <c r="C118" s="33" t="str">
        <f>IF(B118="","",IFERROR(INDEX(품목마스터!$B$2:$B$300,MATCH(B118,품목마스터!$A$2:$A$300,0)),"※미등록"))</f>
        <v/>
      </c>
      <c r="D118" s="32"/>
      <c r="E118" s="33" t="str">
        <f>IF(D118="","",IFERROR(INDEX(담당자마스터!$B$2:$B$300,MATCH(D118,담당자마스터!$A$2:$A$300,0)),"※미등록"))</f>
        <v/>
      </c>
      <c r="F118" s="32"/>
      <c r="G118" s="34"/>
      <c r="H118" s="32"/>
      <c r="I118" s="32"/>
      <c r="J118" s="31"/>
      <c r="K118" s="32"/>
      <c r="L118" s="32"/>
      <c r="M118" s="32"/>
      <c r="N118" s="32"/>
    </row>
    <row r="119" spans="1:14" ht="15" customHeight="1">
      <c r="A119" s="30"/>
      <c r="B119" s="30"/>
      <c r="C119" s="33" t="str">
        <f>IF(B119="","",IFERROR(INDEX(품목마스터!$B$2:$B$300,MATCH(B119,품목마스터!$A$2:$A$300,0)),"※미등록"))</f>
        <v/>
      </c>
      <c r="D119" s="32"/>
      <c r="E119" s="33" t="str">
        <f>IF(D119="","",IFERROR(INDEX(담당자마스터!$B$2:$B$300,MATCH(D119,담당자마스터!$A$2:$A$300,0)),"※미등록"))</f>
        <v/>
      </c>
      <c r="F119" s="32"/>
      <c r="G119" s="34"/>
      <c r="H119" s="32"/>
      <c r="I119" s="32"/>
      <c r="J119" s="31"/>
      <c r="K119" s="32"/>
      <c r="L119" s="32"/>
      <c r="M119" s="32"/>
      <c r="N119" s="32"/>
    </row>
    <row r="120" spans="1:14" ht="15" customHeight="1">
      <c r="A120" s="30"/>
      <c r="B120" s="30"/>
      <c r="C120" s="33" t="str">
        <f>IF(B120="","",IFERROR(INDEX(품목마스터!$B$2:$B$300,MATCH(B120,품목마스터!$A$2:$A$300,0)),"※미등록"))</f>
        <v/>
      </c>
      <c r="D120" s="32"/>
      <c r="E120" s="33" t="str">
        <f>IF(D120="","",IFERROR(INDEX(담당자마스터!$B$2:$B$300,MATCH(D120,담당자마스터!$A$2:$A$300,0)),"※미등록"))</f>
        <v/>
      </c>
      <c r="F120" s="32"/>
      <c r="G120" s="34"/>
      <c r="H120" s="32"/>
      <c r="I120" s="32"/>
      <c r="J120" s="31"/>
      <c r="K120" s="32"/>
      <c r="L120" s="32"/>
      <c r="M120" s="32"/>
      <c r="N120" s="32"/>
    </row>
    <row r="121" spans="1:14" ht="15" customHeight="1">
      <c r="A121" s="30"/>
      <c r="B121" s="30"/>
      <c r="C121" s="33" t="str">
        <f>IF(B121="","",IFERROR(INDEX(품목마스터!$B$2:$B$300,MATCH(B121,품목마스터!$A$2:$A$300,0)),"※미등록"))</f>
        <v/>
      </c>
      <c r="D121" s="32"/>
      <c r="E121" s="33" t="str">
        <f>IF(D121="","",IFERROR(INDEX(담당자마스터!$B$2:$B$300,MATCH(D121,담당자마스터!$A$2:$A$300,0)),"※미등록"))</f>
        <v/>
      </c>
      <c r="F121" s="32"/>
      <c r="G121" s="34"/>
      <c r="H121" s="32"/>
      <c r="I121" s="32"/>
      <c r="J121" s="31"/>
      <c r="K121" s="32"/>
      <c r="L121" s="32"/>
      <c r="M121" s="32"/>
      <c r="N121" s="32"/>
    </row>
    <row r="122" spans="1:14" ht="15" customHeight="1">
      <c r="A122" s="30"/>
      <c r="B122" s="30"/>
      <c r="C122" s="33" t="str">
        <f>IF(B122="","",IFERROR(INDEX(품목마스터!$B$2:$B$300,MATCH(B122,품목마스터!$A$2:$A$300,0)),"※미등록"))</f>
        <v/>
      </c>
      <c r="D122" s="32"/>
      <c r="E122" s="33" t="str">
        <f>IF(D122="","",IFERROR(INDEX(담당자마스터!$B$2:$B$300,MATCH(D122,담당자마스터!$A$2:$A$300,0)),"※미등록"))</f>
        <v/>
      </c>
      <c r="F122" s="32"/>
      <c r="G122" s="34"/>
      <c r="H122" s="32"/>
      <c r="I122" s="32"/>
      <c r="J122" s="31"/>
      <c r="K122" s="32"/>
      <c r="L122" s="32"/>
      <c r="M122" s="32"/>
      <c r="N122" s="32"/>
    </row>
    <row r="123" spans="1:14" ht="15" customHeight="1">
      <c r="A123" s="30"/>
      <c r="B123" s="30"/>
      <c r="C123" s="33" t="str">
        <f>IF(B123="","",IFERROR(INDEX(품목마스터!$B$2:$B$300,MATCH(B123,품목마스터!$A$2:$A$300,0)),"※미등록"))</f>
        <v/>
      </c>
      <c r="D123" s="32"/>
      <c r="E123" s="33" t="str">
        <f>IF(D123="","",IFERROR(INDEX(담당자마스터!$B$2:$B$300,MATCH(D123,담당자마스터!$A$2:$A$300,0)),"※미등록"))</f>
        <v/>
      </c>
      <c r="F123" s="32"/>
      <c r="G123" s="34"/>
      <c r="H123" s="32"/>
      <c r="I123" s="32"/>
      <c r="J123" s="31"/>
      <c r="K123" s="32"/>
      <c r="L123" s="32"/>
      <c r="M123" s="32"/>
      <c r="N123" s="32"/>
    </row>
    <row r="124" spans="1:14" ht="15" customHeight="1">
      <c r="A124" s="30"/>
      <c r="B124" s="30"/>
      <c r="C124" s="33" t="str">
        <f>IF(B124="","",IFERROR(INDEX(품목마스터!$B$2:$B$300,MATCH(B124,품목마스터!$A$2:$A$300,0)),"※미등록"))</f>
        <v/>
      </c>
      <c r="D124" s="32"/>
      <c r="E124" s="33" t="str">
        <f>IF(D124="","",IFERROR(INDEX(담당자마스터!$B$2:$B$300,MATCH(D124,담당자마스터!$A$2:$A$300,0)),"※미등록"))</f>
        <v/>
      </c>
      <c r="F124" s="32"/>
      <c r="G124" s="34"/>
      <c r="H124" s="32"/>
      <c r="I124" s="32"/>
      <c r="J124" s="31"/>
      <c r="K124" s="32"/>
      <c r="L124" s="32"/>
      <c r="M124" s="32"/>
      <c r="N124" s="32"/>
    </row>
    <row r="125" spans="1:14" ht="15" customHeight="1">
      <c r="A125" s="30"/>
      <c r="B125" s="30"/>
      <c r="C125" s="33" t="str">
        <f>IF(B125="","",IFERROR(INDEX(품목마스터!$B$2:$B$300,MATCH(B125,품목마스터!$A$2:$A$300,0)),"※미등록"))</f>
        <v/>
      </c>
      <c r="D125" s="32"/>
      <c r="E125" s="33" t="str">
        <f>IF(D125="","",IFERROR(INDEX(담당자마스터!$B$2:$B$300,MATCH(D125,담당자마스터!$A$2:$A$300,0)),"※미등록"))</f>
        <v/>
      </c>
      <c r="F125" s="32"/>
      <c r="G125" s="34"/>
      <c r="H125" s="32"/>
      <c r="I125" s="32"/>
      <c r="J125" s="31"/>
      <c r="K125" s="32"/>
      <c r="L125" s="32"/>
      <c r="M125" s="32"/>
      <c r="N125" s="32"/>
    </row>
    <row r="126" spans="1:14" ht="15" customHeight="1">
      <c r="A126" s="30"/>
      <c r="B126" s="30"/>
      <c r="C126" s="33" t="str">
        <f>IF(B126="","",IFERROR(INDEX(품목마스터!$B$2:$B$300,MATCH(B126,품목마스터!$A$2:$A$300,0)),"※미등록"))</f>
        <v/>
      </c>
      <c r="D126" s="32"/>
      <c r="E126" s="33" t="str">
        <f>IF(D126="","",IFERROR(INDEX(담당자마스터!$B$2:$B$300,MATCH(D126,담당자마스터!$A$2:$A$300,0)),"※미등록"))</f>
        <v/>
      </c>
      <c r="F126" s="32"/>
      <c r="G126" s="34"/>
      <c r="H126" s="32"/>
      <c r="I126" s="32"/>
      <c r="J126" s="31"/>
      <c r="K126" s="32"/>
      <c r="L126" s="32"/>
      <c r="M126" s="32"/>
      <c r="N126" s="32"/>
    </row>
    <row r="127" spans="1:14" ht="15" customHeight="1">
      <c r="A127" s="30"/>
      <c r="B127" s="30"/>
      <c r="C127" s="33" t="str">
        <f>IF(B127="","",IFERROR(INDEX(품목마스터!$B$2:$B$300,MATCH(B127,품목마스터!$A$2:$A$300,0)),"※미등록"))</f>
        <v/>
      </c>
      <c r="D127" s="32"/>
      <c r="E127" s="33" t="str">
        <f>IF(D127="","",IFERROR(INDEX(담당자마스터!$B$2:$B$300,MATCH(D127,담당자마스터!$A$2:$A$300,0)),"※미등록"))</f>
        <v/>
      </c>
      <c r="F127" s="32"/>
      <c r="G127" s="34"/>
      <c r="H127" s="32"/>
      <c r="I127" s="32"/>
      <c r="J127" s="31"/>
      <c r="K127" s="32"/>
      <c r="L127" s="32"/>
      <c r="M127" s="32"/>
      <c r="N127" s="32"/>
    </row>
    <row r="128" spans="1:14" ht="15" customHeight="1">
      <c r="A128" s="30"/>
      <c r="B128" s="30"/>
      <c r="C128" s="33" t="str">
        <f>IF(B128="","",IFERROR(INDEX(품목마스터!$B$2:$B$300,MATCH(B128,품목마스터!$A$2:$A$300,0)),"※미등록"))</f>
        <v/>
      </c>
      <c r="D128" s="32"/>
      <c r="E128" s="33" t="str">
        <f>IF(D128="","",IFERROR(INDEX(담당자마스터!$B$2:$B$300,MATCH(D128,담당자마스터!$A$2:$A$300,0)),"※미등록"))</f>
        <v/>
      </c>
      <c r="F128" s="32"/>
      <c r="G128" s="34"/>
      <c r="H128" s="32"/>
      <c r="I128" s="32"/>
      <c r="J128" s="31"/>
      <c r="K128" s="32"/>
      <c r="L128" s="32"/>
      <c r="M128" s="32"/>
      <c r="N128" s="32"/>
    </row>
    <row r="129" spans="1:14" ht="15" customHeight="1">
      <c r="A129" s="30"/>
      <c r="B129" s="30"/>
      <c r="C129" s="33" t="str">
        <f>IF(B129="","",IFERROR(INDEX(품목마스터!$B$2:$B$300,MATCH(B129,품목마스터!$A$2:$A$300,0)),"※미등록"))</f>
        <v/>
      </c>
      <c r="D129" s="32"/>
      <c r="E129" s="33" t="str">
        <f>IF(D129="","",IFERROR(INDEX(담당자마스터!$B$2:$B$300,MATCH(D129,담당자마스터!$A$2:$A$300,0)),"※미등록"))</f>
        <v/>
      </c>
      <c r="F129" s="32"/>
      <c r="G129" s="34"/>
      <c r="H129" s="32"/>
      <c r="I129" s="32"/>
      <c r="J129" s="31"/>
      <c r="K129" s="32"/>
      <c r="L129" s="32"/>
      <c r="M129" s="32"/>
      <c r="N129" s="32"/>
    </row>
    <row r="130" spans="1:14" ht="15" customHeight="1">
      <c r="A130" s="30"/>
      <c r="B130" s="30"/>
      <c r="C130" s="33" t="str">
        <f>IF(B130="","",IFERROR(INDEX(품목마스터!$B$2:$B$300,MATCH(B130,품목마스터!$A$2:$A$300,0)),"※미등록"))</f>
        <v/>
      </c>
      <c r="D130" s="32"/>
      <c r="E130" s="33" t="str">
        <f>IF(D130="","",IFERROR(INDEX(담당자마스터!$B$2:$B$300,MATCH(D130,담당자마스터!$A$2:$A$300,0)),"※미등록"))</f>
        <v/>
      </c>
      <c r="F130" s="32"/>
      <c r="G130" s="34"/>
      <c r="H130" s="32"/>
      <c r="I130" s="32"/>
      <c r="J130" s="31"/>
      <c r="K130" s="32"/>
      <c r="L130" s="32"/>
      <c r="M130" s="32"/>
      <c r="N130" s="32"/>
    </row>
    <row r="131" spans="1:14" ht="15" customHeight="1">
      <c r="A131" s="30"/>
      <c r="B131" s="30"/>
      <c r="C131" s="33" t="str">
        <f>IF(B131="","",IFERROR(INDEX(품목마스터!$B$2:$B$300,MATCH(B131,품목마스터!$A$2:$A$300,0)),"※미등록"))</f>
        <v/>
      </c>
      <c r="D131" s="32"/>
      <c r="E131" s="33" t="str">
        <f>IF(D131="","",IFERROR(INDEX(담당자마스터!$B$2:$B$300,MATCH(D131,담당자마스터!$A$2:$A$300,0)),"※미등록"))</f>
        <v/>
      </c>
      <c r="F131" s="32"/>
      <c r="G131" s="34"/>
      <c r="H131" s="32"/>
      <c r="I131" s="32"/>
      <c r="J131" s="31"/>
      <c r="K131" s="32"/>
      <c r="L131" s="32"/>
      <c r="M131" s="32"/>
      <c r="N131" s="32"/>
    </row>
    <row r="132" spans="1:14" ht="15" customHeight="1">
      <c r="A132" s="30"/>
      <c r="B132" s="30"/>
      <c r="C132" s="33" t="str">
        <f>IF(B132="","",IFERROR(INDEX(품목마스터!$B$2:$B$300,MATCH(B132,품목마스터!$A$2:$A$300,0)),"※미등록"))</f>
        <v/>
      </c>
      <c r="D132" s="32"/>
      <c r="E132" s="33" t="str">
        <f>IF(D132="","",IFERROR(INDEX(담당자마스터!$B$2:$B$300,MATCH(D132,담당자마스터!$A$2:$A$300,0)),"※미등록"))</f>
        <v/>
      </c>
      <c r="F132" s="32"/>
      <c r="G132" s="34"/>
      <c r="H132" s="32"/>
      <c r="I132" s="32"/>
      <c r="J132" s="31"/>
      <c r="K132" s="32"/>
      <c r="L132" s="32"/>
      <c r="M132" s="32"/>
      <c r="N132" s="32"/>
    </row>
    <row r="133" spans="1:14" ht="15" customHeight="1">
      <c r="A133" s="30"/>
      <c r="B133" s="30"/>
      <c r="C133" s="33" t="str">
        <f>IF(B133="","",IFERROR(INDEX(품목마스터!$B$2:$B$300,MATCH(B133,품목마스터!$A$2:$A$300,0)),"※미등록"))</f>
        <v/>
      </c>
      <c r="D133" s="32"/>
      <c r="E133" s="33" t="str">
        <f>IF(D133="","",IFERROR(INDEX(담당자마스터!$B$2:$B$300,MATCH(D133,담당자마스터!$A$2:$A$300,0)),"※미등록"))</f>
        <v/>
      </c>
      <c r="F133" s="32"/>
      <c r="G133" s="34"/>
      <c r="H133" s="32"/>
      <c r="I133" s="32"/>
      <c r="J133" s="31"/>
      <c r="K133" s="32"/>
      <c r="L133" s="32"/>
      <c r="M133" s="32"/>
      <c r="N133" s="32"/>
    </row>
    <row r="134" spans="1:14" ht="15" customHeight="1">
      <c r="A134" s="30"/>
      <c r="B134" s="30"/>
      <c r="C134" s="33" t="str">
        <f>IF(B134="","",IFERROR(INDEX(품목마스터!$B$2:$B$300,MATCH(B134,품목마스터!$A$2:$A$300,0)),"※미등록"))</f>
        <v/>
      </c>
      <c r="D134" s="32"/>
      <c r="E134" s="33" t="str">
        <f>IF(D134="","",IFERROR(INDEX(담당자마스터!$B$2:$B$300,MATCH(D134,담당자마스터!$A$2:$A$300,0)),"※미등록"))</f>
        <v/>
      </c>
      <c r="F134" s="32"/>
      <c r="G134" s="34"/>
      <c r="H134" s="32"/>
      <c r="I134" s="32"/>
      <c r="J134" s="31"/>
      <c r="K134" s="32"/>
      <c r="L134" s="32"/>
      <c r="M134" s="32"/>
      <c r="N134" s="32"/>
    </row>
    <row r="135" spans="1:14" ht="15" customHeight="1">
      <c r="A135" s="30"/>
      <c r="B135" s="30"/>
      <c r="C135" s="33" t="str">
        <f>IF(B135="","",IFERROR(INDEX(품목마스터!$B$2:$B$300,MATCH(B135,품목마스터!$A$2:$A$300,0)),"※미등록"))</f>
        <v/>
      </c>
      <c r="D135" s="32"/>
      <c r="E135" s="33" t="str">
        <f>IF(D135="","",IFERROR(INDEX(담당자마스터!$B$2:$B$300,MATCH(D135,담당자마스터!$A$2:$A$300,0)),"※미등록"))</f>
        <v/>
      </c>
      <c r="F135" s="32"/>
      <c r="G135" s="34"/>
      <c r="H135" s="32"/>
      <c r="I135" s="32"/>
      <c r="J135" s="31"/>
      <c r="K135" s="32"/>
      <c r="L135" s="32"/>
      <c r="M135" s="32"/>
      <c r="N135" s="32"/>
    </row>
    <row r="136" spans="1:14" ht="15" customHeight="1">
      <c r="A136" s="30"/>
      <c r="B136" s="30"/>
      <c r="C136" s="33" t="str">
        <f>IF(B136="","",IFERROR(INDEX(품목마스터!$B$2:$B$300,MATCH(B136,품목마스터!$A$2:$A$300,0)),"※미등록"))</f>
        <v/>
      </c>
      <c r="D136" s="32"/>
      <c r="E136" s="33" t="str">
        <f>IF(D136="","",IFERROR(INDEX(담당자마스터!$B$2:$B$300,MATCH(D136,담당자마스터!$A$2:$A$300,0)),"※미등록"))</f>
        <v/>
      </c>
      <c r="F136" s="32"/>
      <c r="G136" s="34"/>
      <c r="H136" s="32"/>
      <c r="I136" s="32"/>
      <c r="J136" s="31"/>
      <c r="K136" s="32"/>
      <c r="L136" s="32"/>
      <c r="M136" s="32"/>
      <c r="N136" s="32"/>
    </row>
    <row r="137" spans="1:14" ht="15" customHeight="1">
      <c r="A137" s="30"/>
      <c r="B137" s="30"/>
      <c r="C137" s="33" t="str">
        <f>IF(B137="","",IFERROR(INDEX(품목마스터!$B$2:$B$300,MATCH(B137,품목마스터!$A$2:$A$300,0)),"※미등록"))</f>
        <v/>
      </c>
      <c r="D137" s="32"/>
      <c r="E137" s="33" t="str">
        <f>IF(D137="","",IFERROR(INDEX(담당자마스터!$B$2:$B$300,MATCH(D137,담당자마스터!$A$2:$A$300,0)),"※미등록"))</f>
        <v/>
      </c>
      <c r="F137" s="32"/>
      <c r="G137" s="34"/>
      <c r="H137" s="32"/>
      <c r="I137" s="32"/>
      <c r="J137" s="31"/>
      <c r="K137" s="32"/>
      <c r="L137" s="32"/>
      <c r="M137" s="32"/>
      <c r="N137" s="32"/>
    </row>
    <row r="138" spans="1:14" ht="15" customHeight="1">
      <c r="A138" s="30"/>
      <c r="B138" s="30"/>
      <c r="C138" s="33" t="str">
        <f>IF(B138="","",IFERROR(INDEX(품목마스터!$B$2:$B$300,MATCH(B138,품목마스터!$A$2:$A$300,0)),"※미등록"))</f>
        <v/>
      </c>
      <c r="D138" s="32"/>
      <c r="E138" s="33" t="str">
        <f>IF(D138="","",IFERROR(INDEX(담당자마스터!$B$2:$B$300,MATCH(D138,담당자마스터!$A$2:$A$300,0)),"※미등록"))</f>
        <v/>
      </c>
      <c r="F138" s="32"/>
      <c r="G138" s="34"/>
      <c r="H138" s="32"/>
      <c r="I138" s="32"/>
      <c r="J138" s="31"/>
      <c r="K138" s="32"/>
      <c r="L138" s="32"/>
      <c r="M138" s="32"/>
      <c r="N138" s="32"/>
    </row>
    <row r="139" spans="1:14" ht="15" customHeight="1">
      <c r="A139" s="30"/>
      <c r="B139" s="30"/>
      <c r="C139" s="33" t="str">
        <f>IF(B139="","",IFERROR(INDEX(품목마스터!$B$2:$B$300,MATCH(B139,품목마스터!$A$2:$A$300,0)),"※미등록"))</f>
        <v/>
      </c>
      <c r="D139" s="32"/>
      <c r="E139" s="33" t="str">
        <f>IF(D139="","",IFERROR(INDEX(담당자마스터!$B$2:$B$300,MATCH(D139,담당자마스터!$A$2:$A$300,0)),"※미등록"))</f>
        <v/>
      </c>
      <c r="F139" s="32"/>
      <c r="G139" s="34"/>
      <c r="H139" s="32"/>
      <c r="I139" s="32"/>
      <c r="J139" s="31"/>
      <c r="K139" s="32"/>
      <c r="L139" s="32"/>
      <c r="M139" s="32"/>
      <c r="N139" s="32"/>
    </row>
    <row r="140" spans="1:14" ht="15" customHeight="1">
      <c r="A140" s="30"/>
      <c r="B140" s="30"/>
      <c r="C140" s="33" t="str">
        <f>IF(B140="","",IFERROR(INDEX(품목마스터!$B$2:$B$300,MATCH(B140,품목마스터!$A$2:$A$300,0)),"※미등록"))</f>
        <v/>
      </c>
      <c r="D140" s="32"/>
      <c r="E140" s="33" t="str">
        <f>IF(D140="","",IFERROR(INDEX(담당자마스터!$B$2:$B$300,MATCH(D140,담당자마스터!$A$2:$A$300,0)),"※미등록"))</f>
        <v/>
      </c>
      <c r="F140" s="32"/>
      <c r="G140" s="34"/>
      <c r="H140" s="32"/>
      <c r="I140" s="32"/>
      <c r="J140" s="31"/>
      <c r="K140" s="32"/>
      <c r="L140" s="32"/>
      <c r="M140" s="32"/>
      <c r="N140" s="32"/>
    </row>
    <row r="141" spans="1:14" ht="15" customHeight="1">
      <c r="A141" s="30"/>
      <c r="B141" s="30"/>
      <c r="C141" s="33" t="str">
        <f>IF(B141="","",IFERROR(INDEX(품목마스터!$B$2:$B$300,MATCH(B141,품목마스터!$A$2:$A$300,0)),"※미등록"))</f>
        <v/>
      </c>
      <c r="D141" s="32"/>
      <c r="E141" s="33" t="str">
        <f>IF(D141="","",IFERROR(INDEX(담당자마스터!$B$2:$B$300,MATCH(D141,담당자마스터!$A$2:$A$300,0)),"※미등록"))</f>
        <v/>
      </c>
      <c r="F141" s="32"/>
      <c r="G141" s="34"/>
      <c r="H141" s="32"/>
      <c r="I141" s="32"/>
      <c r="J141" s="31"/>
      <c r="K141" s="32"/>
      <c r="L141" s="32"/>
      <c r="M141" s="32"/>
      <c r="N141" s="32"/>
    </row>
    <row r="142" spans="1:14" ht="15" customHeight="1">
      <c r="A142" s="30"/>
      <c r="B142" s="30"/>
      <c r="C142" s="33" t="str">
        <f>IF(B142="","",IFERROR(INDEX(품목마스터!$B$2:$B$300,MATCH(B142,품목마스터!$A$2:$A$300,0)),"※미등록"))</f>
        <v/>
      </c>
      <c r="D142" s="32"/>
      <c r="E142" s="33" t="str">
        <f>IF(D142="","",IFERROR(INDEX(담당자마스터!$B$2:$B$300,MATCH(D142,담당자마스터!$A$2:$A$300,0)),"※미등록"))</f>
        <v/>
      </c>
      <c r="F142" s="32"/>
      <c r="G142" s="34"/>
      <c r="H142" s="32"/>
      <c r="I142" s="32"/>
      <c r="J142" s="31"/>
      <c r="K142" s="32"/>
      <c r="L142" s="32"/>
      <c r="M142" s="32"/>
      <c r="N142" s="32"/>
    </row>
    <row r="143" spans="1:14" ht="15" customHeight="1">
      <c r="A143" s="30"/>
      <c r="B143" s="30"/>
      <c r="C143" s="33" t="str">
        <f>IF(B143="","",IFERROR(INDEX(품목마스터!$B$2:$B$300,MATCH(B143,품목마스터!$A$2:$A$300,0)),"※미등록"))</f>
        <v/>
      </c>
      <c r="D143" s="32"/>
      <c r="E143" s="33" t="str">
        <f>IF(D143="","",IFERROR(INDEX(담당자마스터!$B$2:$B$300,MATCH(D143,담당자마스터!$A$2:$A$300,0)),"※미등록"))</f>
        <v/>
      </c>
      <c r="F143" s="32"/>
      <c r="G143" s="34"/>
      <c r="H143" s="32"/>
      <c r="I143" s="32"/>
      <c r="J143" s="31"/>
      <c r="K143" s="32"/>
      <c r="L143" s="32"/>
      <c r="M143" s="32"/>
      <c r="N143" s="32"/>
    </row>
    <row r="144" spans="1:14" ht="15" customHeight="1">
      <c r="A144" s="30"/>
      <c r="B144" s="30"/>
      <c r="C144" s="33" t="str">
        <f>IF(B144="","",IFERROR(INDEX(품목마스터!$B$2:$B$300,MATCH(B144,품목마스터!$A$2:$A$300,0)),"※미등록"))</f>
        <v/>
      </c>
      <c r="D144" s="32"/>
      <c r="E144" s="33" t="str">
        <f>IF(D144="","",IFERROR(INDEX(담당자마스터!$B$2:$B$300,MATCH(D144,담당자마스터!$A$2:$A$300,0)),"※미등록"))</f>
        <v/>
      </c>
      <c r="F144" s="32"/>
      <c r="G144" s="34"/>
      <c r="H144" s="32"/>
      <c r="I144" s="32"/>
      <c r="J144" s="31"/>
      <c r="K144" s="32"/>
      <c r="L144" s="32"/>
      <c r="M144" s="32"/>
      <c r="N144" s="32"/>
    </row>
    <row r="145" spans="1:14" ht="15" customHeight="1">
      <c r="A145" s="30"/>
      <c r="B145" s="30"/>
      <c r="C145" s="33" t="str">
        <f>IF(B145="","",IFERROR(INDEX(품목마스터!$B$2:$B$300,MATCH(B145,품목마스터!$A$2:$A$300,0)),"※미등록"))</f>
        <v/>
      </c>
      <c r="D145" s="32"/>
      <c r="E145" s="33" t="str">
        <f>IF(D145="","",IFERROR(INDEX(담당자마스터!$B$2:$B$300,MATCH(D145,담당자마스터!$A$2:$A$300,0)),"※미등록"))</f>
        <v/>
      </c>
      <c r="F145" s="32"/>
      <c r="G145" s="34"/>
      <c r="H145" s="32"/>
      <c r="I145" s="32"/>
      <c r="J145" s="31"/>
      <c r="K145" s="32"/>
      <c r="L145" s="32"/>
      <c r="M145" s="32"/>
      <c r="N145" s="32"/>
    </row>
    <row r="146" spans="1:14" ht="15" customHeight="1">
      <c r="A146" s="30"/>
      <c r="B146" s="30"/>
      <c r="C146" s="33" t="str">
        <f>IF(B146="","",IFERROR(INDEX(품목마스터!$B$2:$B$300,MATCH(B146,품목마스터!$A$2:$A$300,0)),"※미등록"))</f>
        <v/>
      </c>
      <c r="D146" s="32"/>
      <c r="E146" s="33" t="str">
        <f>IF(D146="","",IFERROR(INDEX(담당자마스터!$B$2:$B$300,MATCH(D146,담당자마스터!$A$2:$A$300,0)),"※미등록"))</f>
        <v/>
      </c>
      <c r="F146" s="32"/>
      <c r="G146" s="34"/>
      <c r="H146" s="32"/>
      <c r="I146" s="32"/>
      <c r="J146" s="31"/>
      <c r="K146" s="32"/>
      <c r="L146" s="32"/>
      <c r="M146" s="32"/>
      <c r="N146" s="32"/>
    </row>
    <row r="147" spans="1:14" ht="15" customHeight="1">
      <c r="A147" s="30"/>
      <c r="B147" s="30"/>
      <c r="C147" s="33" t="str">
        <f>IF(B147="","",IFERROR(INDEX(품목마스터!$B$2:$B$300,MATCH(B147,품목마스터!$A$2:$A$300,0)),"※미등록"))</f>
        <v/>
      </c>
      <c r="D147" s="32"/>
      <c r="E147" s="33" t="str">
        <f>IF(D147="","",IFERROR(INDEX(담당자마스터!$B$2:$B$300,MATCH(D147,담당자마스터!$A$2:$A$300,0)),"※미등록"))</f>
        <v/>
      </c>
      <c r="F147" s="32"/>
      <c r="G147" s="34"/>
      <c r="H147" s="32"/>
      <c r="I147" s="32"/>
      <c r="J147" s="31"/>
      <c r="K147" s="32"/>
      <c r="L147" s="32"/>
      <c r="M147" s="32"/>
      <c r="N147" s="32"/>
    </row>
    <row r="148" spans="1:14" ht="15" customHeight="1">
      <c r="A148" s="30"/>
      <c r="B148" s="30"/>
      <c r="C148" s="33" t="str">
        <f>IF(B148="","",IFERROR(INDEX(품목마스터!$B$2:$B$300,MATCH(B148,품목마스터!$A$2:$A$300,0)),"※미등록"))</f>
        <v/>
      </c>
      <c r="D148" s="32"/>
      <c r="E148" s="33" t="str">
        <f>IF(D148="","",IFERROR(INDEX(담당자마스터!$B$2:$B$300,MATCH(D148,담당자마스터!$A$2:$A$300,0)),"※미등록"))</f>
        <v/>
      </c>
      <c r="F148" s="32"/>
      <c r="G148" s="34"/>
      <c r="H148" s="32"/>
      <c r="I148" s="32"/>
      <c r="J148" s="31"/>
      <c r="K148" s="32"/>
      <c r="L148" s="32"/>
      <c r="M148" s="32"/>
      <c r="N148" s="32"/>
    </row>
    <row r="149" spans="1:14" ht="15" customHeight="1">
      <c r="A149" s="30"/>
      <c r="B149" s="30"/>
      <c r="C149" s="33" t="str">
        <f>IF(B149="","",IFERROR(INDEX(품목마스터!$B$2:$B$300,MATCH(B149,품목마스터!$A$2:$A$300,0)),"※미등록"))</f>
        <v/>
      </c>
      <c r="D149" s="32"/>
      <c r="E149" s="33" t="str">
        <f>IF(D149="","",IFERROR(INDEX(담당자마스터!$B$2:$B$300,MATCH(D149,담당자마스터!$A$2:$A$300,0)),"※미등록"))</f>
        <v/>
      </c>
      <c r="F149" s="32"/>
      <c r="G149" s="34"/>
      <c r="H149" s="32"/>
      <c r="I149" s="32"/>
      <c r="J149" s="31"/>
      <c r="K149" s="32"/>
      <c r="L149" s="32"/>
      <c r="M149" s="32"/>
      <c r="N149" s="32"/>
    </row>
    <row r="150" spans="1:14" ht="15" customHeight="1">
      <c r="A150" s="30"/>
      <c r="B150" s="30"/>
      <c r="C150" s="33" t="str">
        <f>IF(B150="","",IFERROR(INDEX(품목마스터!$B$2:$B$300,MATCH(B150,품목마스터!$A$2:$A$300,0)),"※미등록"))</f>
        <v/>
      </c>
      <c r="D150" s="32"/>
      <c r="E150" s="33" t="str">
        <f>IF(D150="","",IFERROR(INDEX(담당자마스터!$B$2:$B$300,MATCH(D150,담당자마스터!$A$2:$A$300,0)),"※미등록"))</f>
        <v/>
      </c>
      <c r="F150" s="32"/>
      <c r="G150" s="34"/>
      <c r="H150" s="32"/>
      <c r="I150" s="32"/>
      <c r="J150" s="31"/>
      <c r="K150" s="32"/>
      <c r="L150" s="32"/>
      <c r="M150" s="32"/>
      <c r="N150" s="32"/>
    </row>
    <row r="151" spans="1:14" ht="15" customHeight="1">
      <c r="A151" s="30"/>
      <c r="B151" s="30"/>
      <c r="C151" s="33" t="str">
        <f>IF(B151="","",IFERROR(INDEX(품목마스터!$B$2:$B$300,MATCH(B151,품목마스터!$A$2:$A$300,0)),"※미등록"))</f>
        <v/>
      </c>
      <c r="D151" s="32"/>
      <c r="E151" s="33" t="str">
        <f>IF(D151="","",IFERROR(INDEX(담당자마스터!$B$2:$B$300,MATCH(D151,담당자마스터!$A$2:$A$300,0)),"※미등록"))</f>
        <v/>
      </c>
      <c r="F151" s="32"/>
      <c r="G151" s="34"/>
      <c r="H151" s="32"/>
      <c r="I151" s="32"/>
      <c r="J151" s="31"/>
      <c r="K151" s="32"/>
      <c r="L151" s="32"/>
      <c r="M151" s="32"/>
      <c r="N151" s="32"/>
    </row>
    <row r="152" spans="1:14" ht="15" customHeight="1">
      <c r="A152" s="30"/>
      <c r="B152" s="30"/>
      <c r="C152" s="33" t="str">
        <f>IF(B152="","",IFERROR(INDEX(품목마스터!$B$2:$B$300,MATCH(B152,품목마스터!$A$2:$A$300,0)),"※미등록"))</f>
        <v/>
      </c>
      <c r="D152" s="32"/>
      <c r="E152" s="33" t="str">
        <f>IF(D152="","",IFERROR(INDEX(담당자마스터!$B$2:$B$300,MATCH(D152,담당자마스터!$A$2:$A$300,0)),"※미등록"))</f>
        <v/>
      </c>
      <c r="F152" s="32"/>
      <c r="G152" s="34"/>
      <c r="H152" s="32"/>
      <c r="I152" s="32"/>
      <c r="J152" s="31"/>
      <c r="K152" s="32"/>
      <c r="L152" s="32"/>
      <c r="M152" s="32"/>
      <c r="N152" s="32"/>
    </row>
    <row r="153" spans="1:14" ht="15" customHeight="1">
      <c r="A153" s="30"/>
      <c r="B153" s="30"/>
      <c r="C153" s="33" t="str">
        <f>IF(B153="","",IFERROR(INDEX(품목마스터!$B$2:$B$300,MATCH(B153,품목마스터!$A$2:$A$300,0)),"※미등록"))</f>
        <v/>
      </c>
      <c r="D153" s="32"/>
      <c r="E153" s="33" t="str">
        <f>IF(D153="","",IFERROR(INDEX(담당자마스터!$B$2:$B$300,MATCH(D153,담당자마스터!$A$2:$A$300,0)),"※미등록"))</f>
        <v/>
      </c>
      <c r="F153" s="32"/>
      <c r="G153" s="34"/>
      <c r="H153" s="32"/>
      <c r="I153" s="32"/>
      <c r="J153" s="31"/>
      <c r="K153" s="32"/>
      <c r="L153" s="32"/>
      <c r="M153" s="32"/>
      <c r="N153" s="32"/>
    </row>
    <row r="154" spans="1:14" ht="15" customHeight="1">
      <c r="A154" s="30"/>
      <c r="B154" s="30"/>
      <c r="C154" s="33" t="str">
        <f>IF(B154="","",IFERROR(INDEX(품목마스터!$B$2:$B$300,MATCH(B154,품목마스터!$A$2:$A$300,0)),"※미등록"))</f>
        <v/>
      </c>
      <c r="D154" s="32"/>
      <c r="E154" s="33" t="str">
        <f>IF(D154="","",IFERROR(INDEX(담당자마스터!$B$2:$B$300,MATCH(D154,담당자마스터!$A$2:$A$300,0)),"※미등록"))</f>
        <v/>
      </c>
      <c r="F154" s="32"/>
      <c r="G154" s="34"/>
      <c r="H154" s="32"/>
      <c r="I154" s="32"/>
      <c r="J154" s="31"/>
      <c r="K154" s="32"/>
      <c r="L154" s="32"/>
      <c r="M154" s="32"/>
      <c r="N154" s="32"/>
    </row>
    <row r="155" spans="1:14" ht="15" customHeight="1">
      <c r="A155" s="30"/>
      <c r="B155" s="30"/>
      <c r="C155" s="33" t="str">
        <f>IF(B155="","",IFERROR(INDEX(품목마스터!$B$2:$B$300,MATCH(B155,품목마스터!$A$2:$A$300,0)),"※미등록"))</f>
        <v/>
      </c>
      <c r="D155" s="32"/>
      <c r="E155" s="33" t="str">
        <f>IF(D155="","",IFERROR(INDEX(담당자마스터!$B$2:$B$300,MATCH(D155,담당자마스터!$A$2:$A$300,0)),"※미등록"))</f>
        <v/>
      </c>
      <c r="F155" s="32"/>
      <c r="G155" s="34"/>
      <c r="H155" s="32"/>
      <c r="I155" s="32"/>
      <c r="J155" s="31"/>
      <c r="K155" s="32"/>
      <c r="L155" s="32"/>
      <c r="M155" s="32"/>
      <c r="N155" s="32"/>
    </row>
    <row r="156" spans="1:14" ht="15" customHeight="1">
      <c r="A156" s="30"/>
      <c r="B156" s="30"/>
      <c r="C156" s="33" t="str">
        <f>IF(B156="","",IFERROR(INDEX(품목마스터!$B$2:$B$300,MATCH(B156,품목마스터!$A$2:$A$300,0)),"※미등록"))</f>
        <v/>
      </c>
      <c r="D156" s="32"/>
      <c r="E156" s="33" t="str">
        <f>IF(D156="","",IFERROR(INDEX(담당자마스터!$B$2:$B$300,MATCH(D156,담당자마스터!$A$2:$A$300,0)),"※미등록"))</f>
        <v/>
      </c>
      <c r="F156" s="32"/>
      <c r="G156" s="34"/>
      <c r="H156" s="32"/>
      <c r="I156" s="32"/>
      <c r="J156" s="31"/>
      <c r="K156" s="32"/>
      <c r="L156" s="32"/>
      <c r="M156" s="32"/>
      <c r="N156" s="32"/>
    </row>
    <row r="157" spans="1:14" ht="15" customHeight="1">
      <c r="A157" s="30"/>
      <c r="B157" s="30"/>
      <c r="C157" s="33" t="str">
        <f>IF(B157="","",IFERROR(INDEX(품목마스터!$B$2:$B$300,MATCH(B157,품목마스터!$A$2:$A$300,0)),"※미등록"))</f>
        <v/>
      </c>
      <c r="D157" s="32"/>
      <c r="E157" s="33" t="str">
        <f>IF(D157="","",IFERROR(INDEX(담당자마스터!$B$2:$B$300,MATCH(D157,담당자마스터!$A$2:$A$300,0)),"※미등록"))</f>
        <v/>
      </c>
      <c r="F157" s="32"/>
      <c r="G157" s="34"/>
      <c r="H157" s="32"/>
      <c r="I157" s="32"/>
      <c r="J157" s="31"/>
      <c r="K157" s="32"/>
      <c r="L157" s="32"/>
      <c r="M157" s="32"/>
      <c r="N157" s="32"/>
    </row>
    <row r="158" spans="1:14" ht="15" customHeight="1">
      <c r="A158" s="30"/>
      <c r="B158" s="30"/>
      <c r="C158" s="33" t="str">
        <f>IF(B158="","",IFERROR(INDEX(품목마스터!$B$2:$B$300,MATCH(B158,품목마스터!$A$2:$A$300,0)),"※미등록"))</f>
        <v/>
      </c>
      <c r="D158" s="32"/>
      <c r="E158" s="33" t="str">
        <f>IF(D158="","",IFERROR(INDEX(담당자마스터!$B$2:$B$300,MATCH(D158,담당자마스터!$A$2:$A$300,0)),"※미등록"))</f>
        <v/>
      </c>
      <c r="F158" s="32"/>
      <c r="G158" s="34"/>
      <c r="H158" s="32"/>
      <c r="I158" s="32"/>
      <c r="J158" s="31"/>
      <c r="K158" s="32"/>
      <c r="L158" s="32"/>
      <c r="M158" s="32"/>
      <c r="N158" s="32"/>
    </row>
    <row r="159" spans="1:14" ht="15" customHeight="1">
      <c r="A159" s="30"/>
      <c r="B159" s="30"/>
      <c r="C159" s="33" t="str">
        <f>IF(B159="","",IFERROR(INDEX(품목마스터!$B$2:$B$300,MATCH(B159,품목마스터!$A$2:$A$300,0)),"※미등록"))</f>
        <v/>
      </c>
      <c r="D159" s="32"/>
      <c r="E159" s="33" t="str">
        <f>IF(D159="","",IFERROR(INDEX(담당자마스터!$B$2:$B$300,MATCH(D159,담당자마스터!$A$2:$A$300,0)),"※미등록"))</f>
        <v/>
      </c>
      <c r="F159" s="32"/>
      <c r="G159" s="34"/>
      <c r="H159" s="32"/>
      <c r="I159" s="32"/>
      <c r="J159" s="31"/>
      <c r="K159" s="32"/>
      <c r="L159" s="32"/>
      <c r="M159" s="32"/>
      <c r="N159" s="32"/>
    </row>
    <row r="160" spans="1:14" ht="15" customHeight="1">
      <c r="A160" s="30"/>
      <c r="B160" s="30"/>
      <c r="C160" s="33" t="str">
        <f>IF(B160="","",IFERROR(INDEX(품목마스터!$B$2:$B$300,MATCH(B160,품목마스터!$A$2:$A$300,0)),"※미등록"))</f>
        <v/>
      </c>
      <c r="D160" s="32"/>
      <c r="E160" s="33" t="str">
        <f>IF(D160="","",IFERROR(INDEX(담당자마스터!$B$2:$B$300,MATCH(D160,담당자마스터!$A$2:$A$300,0)),"※미등록"))</f>
        <v/>
      </c>
      <c r="F160" s="32"/>
      <c r="G160" s="34"/>
      <c r="H160" s="32"/>
      <c r="I160" s="32"/>
      <c r="J160" s="31"/>
      <c r="K160" s="32"/>
      <c r="L160" s="32"/>
      <c r="M160" s="32"/>
      <c r="N160" s="32"/>
    </row>
    <row r="161" spans="1:14" ht="15" customHeight="1">
      <c r="A161" s="30"/>
      <c r="B161" s="30"/>
      <c r="C161" s="33" t="str">
        <f>IF(B161="","",IFERROR(INDEX(품목마스터!$B$2:$B$300,MATCH(B161,품목마스터!$A$2:$A$300,0)),"※미등록"))</f>
        <v/>
      </c>
      <c r="D161" s="32"/>
      <c r="E161" s="33" t="str">
        <f>IF(D161="","",IFERROR(INDEX(담당자마스터!$B$2:$B$300,MATCH(D161,담당자마스터!$A$2:$A$300,0)),"※미등록"))</f>
        <v/>
      </c>
      <c r="F161" s="32"/>
      <c r="G161" s="34"/>
      <c r="H161" s="32"/>
      <c r="I161" s="32"/>
      <c r="J161" s="31"/>
      <c r="K161" s="32"/>
      <c r="L161" s="32"/>
      <c r="M161" s="32"/>
      <c r="N161" s="32"/>
    </row>
    <row r="162" spans="1:14" ht="15" customHeight="1">
      <c r="A162" s="30"/>
      <c r="B162" s="30"/>
      <c r="C162" s="33" t="str">
        <f>IF(B162="","",IFERROR(INDEX(품목마스터!$B$2:$B$300,MATCH(B162,품목마스터!$A$2:$A$300,0)),"※미등록"))</f>
        <v/>
      </c>
      <c r="D162" s="32"/>
      <c r="E162" s="33" t="str">
        <f>IF(D162="","",IFERROR(INDEX(담당자마스터!$B$2:$B$300,MATCH(D162,담당자마스터!$A$2:$A$300,0)),"※미등록"))</f>
        <v/>
      </c>
      <c r="F162" s="32"/>
      <c r="G162" s="34"/>
      <c r="H162" s="32"/>
      <c r="I162" s="32"/>
      <c r="J162" s="31"/>
      <c r="K162" s="32"/>
      <c r="L162" s="32"/>
      <c r="M162" s="32"/>
      <c r="N162" s="32"/>
    </row>
    <row r="163" spans="1:14" ht="15" customHeight="1">
      <c r="A163" s="30"/>
      <c r="B163" s="30"/>
      <c r="C163" s="33" t="str">
        <f>IF(B163="","",IFERROR(INDEX(품목마스터!$B$2:$B$300,MATCH(B163,품목마스터!$A$2:$A$300,0)),"※미등록"))</f>
        <v/>
      </c>
      <c r="D163" s="32"/>
      <c r="E163" s="33" t="str">
        <f>IF(D163="","",IFERROR(INDEX(담당자마스터!$B$2:$B$300,MATCH(D163,담당자마스터!$A$2:$A$300,0)),"※미등록"))</f>
        <v/>
      </c>
      <c r="F163" s="32"/>
      <c r="G163" s="34"/>
      <c r="H163" s="32"/>
      <c r="I163" s="32"/>
      <c r="J163" s="31"/>
      <c r="K163" s="32"/>
      <c r="L163" s="32"/>
      <c r="M163" s="32"/>
      <c r="N163" s="32"/>
    </row>
    <row r="164" spans="1:14" ht="15" customHeight="1">
      <c r="A164" s="30"/>
      <c r="B164" s="30"/>
      <c r="C164" s="33" t="str">
        <f>IF(B164="","",IFERROR(INDEX(품목마스터!$B$2:$B$300,MATCH(B164,품목마스터!$A$2:$A$300,0)),"※미등록"))</f>
        <v/>
      </c>
      <c r="D164" s="32"/>
      <c r="E164" s="33" t="str">
        <f>IF(D164="","",IFERROR(INDEX(담당자마스터!$B$2:$B$300,MATCH(D164,담당자마스터!$A$2:$A$300,0)),"※미등록"))</f>
        <v/>
      </c>
      <c r="F164" s="32"/>
      <c r="G164" s="34"/>
      <c r="H164" s="32"/>
      <c r="I164" s="32"/>
      <c r="J164" s="31"/>
      <c r="K164" s="32"/>
      <c r="L164" s="32"/>
      <c r="M164" s="32"/>
      <c r="N164" s="32"/>
    </row>
    <row r="165" spans="1:14" ht="15" customHeight="1">
      <c r="A165" s="30"/>
      <c r="B165" s="30"/>
      <c r="C165" s="33" t="str">
        <f>IF(B165="","",IFERROR(INDEX(품목마스터!$B$2:$B$300,MATCH(B165,품목마스터!$A$2:$A$300,0)),"※미등록"))</f>
        <v/>
      </c>
      <c r="D165" s="32"/>
      <c r="E165" s="33" t="str">
        <f>IF(D165="","",IFERROR(INDEX(담당자마스터!$B$2:$B$300,MATCH(D165,담당자마스터!$A$2:$A$300,0)),"※미등록"))</f>
        <v/>
      </c>
      <c r="F165" s="32"/>
      <c r="G165" s="34"/>
      <c r="H165" s="32"/>
      <c r="I165" s="32"/>
      <c r="J165" s="31"/>
      <c r="K165" s="32"/>
      <c r="L165" s="32"/>
      <c r="M165" s="32"/>
      <c r="N165" s="32"/>
    </row>
    <row r="166" spans="1:14" ht="15" customHeight="1">
      <c r="A166" s="30"/>
      <c r="B166" s="30"/>
      <c r="C166" s="33" t="str">
        <f>IF(B166="","",IFERROR(INDEX(품목마스터!$B$2:$B$300,MATCH(B166,품목마스터!$A$2:$A$300,0)),"※미등록"))</f>
        <v/>
      </c>
      <c r="D166" s="32"/>
      <c r="E166" s="33" t="str">
        <f>IF(D166="","",IFERROR(INDEX(담당자마스터!$B$2:$B$300,MATCH(D166,담당자마스터!$A$2:$A$300,0)),"※미등록"))</f>
        <v/>
      </c>
      <c r="F166" s="32"/>
      <c r="G166" s="34"/>
      <c r="H166" s="32"/>
      <c r="I166" s="32"/>
      <c r="J166" s="31"/>
      <c r="K166" s="32"/>
      <c r="L166" s="32"/>
      <c r="M166" s="32"/>
      <c r="N166" s="32"/>
    </row>
    <row r="167" spans="1:14" ht="15" customHeight="1">
      <c r="A167" s="30"/>
      <c r="B167" s="30"/>
      <c r="C167" s="33" t="str">
        <f>IF(B167="","",IFERROR(INDEX(품목마스터!$B$2:$B$300,MATCH(B167,품목마스터!$A$2:$A$300,0)),"※미등록"))</f>
        <v/>
      </c>
      <c r="D167" s="32"/>
      <c r="E167" s="33" t="str">
        <f>IF(D167="","",IFERROR(INDEX(담당자마스터!$B$2:$B$300,MATCH(D167,담당자마스터!$A$2:$A$300,0)),"※미등록"))</f>
        <v/>
      </c>
      <c r="F167" s="32"/>
      <c r="G167" s="34"/>
      <c r="H167" s="32"/>
      <c r="I167" s="32"/>
      <c r="J167" s="31"/>
      <c r="K167" s="32"/>
      <c r="L167" s="32"/>
      <c r="M167" s="32"/>
      <c r="N167" s="32"/>
    </row>
    <row r="168" spans="1:14" ht="15" customHeight="1">
      <c r="A168" s="30"/>
      <c r="B168" s="30"/>
      <c r="C168" s="33" t="str">
        <f>IF(B168="","",IFERROR(INDEX(품목마스터!$B$2:$B$300,MATCH(B168,품목마스터!$A$2:$A$300,0)),"※미등록"))</f>
        <v/>
      </c>
      <c r="D168" s="32"/>
      <c r="E168" s="33" t="str">
        <f>IF(D168="","",IFERROR(INDEX(담당자마스터!$B$2:$B$300,MATCH(D168,담당자마스터!$A$2:$A$300,0)),"※미등록"))</f>
        <v/>
      </c>
      <c r="F168" s="32"/>
      <c r="G168" s="34"/>
      <c r="H168" s="32"/>
      <c r="I168" s="32"/>
      <c r="J168" s="31"/>
      <c r="K168" s="32"/>
      <c r="L168" s="32"/>
      <c r="M168" s="32"/>
      <c r="N168" s="32"/>
    </row>
    <row r="169" spans="1:14" ht="15" customHeight="1">
      <c r="A169" s="30"/>
      <c r="B169" s="30"/>
      <c r="C169" s="33" t="str">
        <f>IF(B169="","",IFERROR(INDEX(품목마스터!$B$2:$B$300,MATCH(B169,품목마스터!$A$2:$A$300,0)),"※미등록"))</f>
        <v/>
      </c>
      <c r="D169" s="32"/>
      <c r="E169" s="33" t="str">
        <f>IF(D169="","",IFERROR(INDEX(담당자마스터!$B$2:$B$300,MATCH(D169,담당자마스터!$A$2:$A$300,0)),"※미등록"))</f>
        <v/>
      </c>
      <c r="F169" s="32"/>
      <c r="G169" s="34"/>
      <c r="H169" s="32"/>
      <c r="I169" s="32"/>
      <c r="J169" s="31"/>
      <c r="K169" s="32"/>
      <c r="L169" s="32"/>
      <c r="M169" s="32"/>
      <c r="N169" s="32"/>
    </row>
    <row r="170" spans="1:14" ht="15" customHeight="1">
      <c r="A170" s="30"/>
      <c r="B170" s="30"/>
      <c r="C170" s="33" t="str">
        <f>IF(B170="","",IFERROR(INDEX(품목마스터!$B$2:$B$300,MATCH(B170,품목마스터!$A$2:$A$300,0)),"※미등록"))</f>
        <v/>
      </c>
      <c r="D170" s="32"/>
      <c r="E170" s="33" t="str">
        <f>IF(D170="","",IFERROR(INDEX(담당자마스터!$B$2:$B$300,MATCH(D170,담당자마스터!$A$2:$A$300,0)),"※미등록"))</f>
        <v/>
      </c>
      <c r="F170" s="32"/>
      <c r="G170" s="34"/>
      <c r="H170" s="32"/>
      <c r="I170" s="32"/>
      <c r="J170" s="31"/>
      <c r="K170" s="32"/>
      <c r="L170" s="32"/>
      <c r="M170" s="32"/>
      <c r="N170" s="32"/>
    </row>
    <row r="171" spans="1:14" ht="15" customHeight="1">
      <c r="A171" s="30"/>
      <c r="B171" s="30"/>
      <c r="C171" s="33" t="str">
        <f>IF(B171="","",IFERROR(INDEX(품목마스터!$B$2:$B$300,MATCH(B171,품목마스터!$A$2:$A$300,0)),"※미등록"))</f>
        <v/>
      </c>
      <c r="D171" s="32"/>
      <c r="E171" s="33" t="str">
        <f>IF(D171="","",IFERROR(INDEX(담당자마스터!$B$2:$B$300,MATCH(D171,담당자마스터!$A$2:$A$300,0)),"※미등록"))</f>
        <v/>
      </c>
      <c r="F171" s="32"/>
      <c r="G171" s="34"/>
      <c r="H171" s="32"/>
      <c r="I171" s="32"/>
      <c r="J171" s="31"/>
      <c r="K171" s="32"/>
      <c r="L171" s="32"/>
      <c r="M171" s="32"/>
      <c r="N171" s="32"/>
    </row>
    <row r="172" spans="1:14" ht="15" customHeight="1">
      <c r="A172" s="30"/>
      <c r="B172" s="30"/>
      <c r="C172" s="33" t="str">
        <f>IF(B172="","",IFERROR(INDEX(품목마스터!$B$2:$B$300,MATCH(B172,품목마스터!$A$2:$A$300,0)),"※미등록"))</f>
        <v/>
      </c>
      <c r="D172" s="32"/>
      <c r="E172" s="33" t="str">
        <f>IF(D172="","",IFERROR(INDEX(담당자마스터!$B$2:$B$300,MATCH(D172,담당자마스터!$A$2:$A$300,0)),"※미등록"))</f>
        <v/>
      </c>
      <c r="F172" s="32"/>
      <c r="G172" s="34"/>
      <c r="H172" s="32"/>
      <c r="I172" s="32"/>
      <c r="J172" s="31"/>
      <c r="K172" s="32"/>
      <c r="L172" s="32"/>
      <c r="M172" s="32"/>
      <c r="N172" s="32"/>
    </row>
    <row r="173" spans="1:14" ht="15" customHeight="1">
      <c r="A173" s="30"/>
      <c r="B173" s="30"/>
      <c r="C173" s="33" t="str">
        <f>IF(B173="","",IFERROR(INDEX(품목마스터!$B$2:$B$300,MATCH(B173,품목마스터!$A$2:$A$300,0)),"※미등록"))</f>
        <v/>
      </c>
      <c r="D173" s="32"/>
      <c r="E173" s="33" t="str">
        <f>IF(D173="","",IFERROR(INDEX(담당자마스터!$B$2:$B$300,MATCH(D173,담당자마스터!$A$2:$A$300,0)),"※미등록"))</f>
        <v/>
      </c>
      <c r="F173" s="32"/>
      <c r="G173" s="34"/>
      <c r="H173" s="32"/>
      <c r="I173" s="32"/>
      <c r="J173" s="31"/>
      <c r="K173" s="32"/>
      <c r="L173" s="32"/>
      <c r="M173" s="32"/>
      <c r="N173" s="32"/>
    </row>
    <row r="174" spans="1:14" ht="15" customHeight="1">
      <c r="A174" s="30"/>
      <c r="B174" s="30"/>
      <c r="C174" s="33" t="str">
        <f>IF(B174="","",IFERROR(INDEX(품목마스터!$B$2:$B$300,MATCH(B174,품목마스터!$A$2:$A$300,0)),"※미등록"))</f>
        <v/>
      </c>
      <c r="D174" s="32"/>
      <c r="E174" s="33" t="str">
        <f>IF(D174="","",IFERROR(INDEX(담당자마스터!$B$2:$B$300,MATCH(D174,담당자마스터!$A$2:$A$300,0)),"※미등록"))</f>
        <v/>
      </c>
      <c r="F174" s="32"/>
      <c r="G174" s="34"/>
      <c r="H174" s="32"/>
      <c r="I174" s="32"/>
      <c r="J174" s="31"/>
      <c r="K174" s="32"/>
      <c r="L174" s="32"/>
      <c r="M174" s="32"/>
      <c r="N174" s="32"/>
    </row>
    <row r="175" spans="1:14" ht="15" customHeight="1">
      <c r="A175" s="30"/>
      <c r="B175" s="30"/>
      <c r="C175" s="33" t="str">
        <f>IF(B175="","",IFERROR(INDEX(품목마스터!$B$2:$B$300,MATCH(B175,품목마스터!$A$2:$A$300,0)),"※미등록"))</f>
        <v/>
      </c>
      <c r="D175" s="32"/>
      <c r="E175" s="33" t="str">
        <f>IF(D175="","",IFERROR(INDEX(담당자마스터!$B$2:$B$300,MATCH(D175,담당자마스터!$A$2:$A$300,0)),"※미등록"))</f>
        <v/>
      </c>
      <c r="F175" s="32"/>
      <c r="G175" s="34"/>
      <c r="H175" s="32"/>
      <c r="I175" s="32"/>
      <c r="J175" s="31"/>
      <c r="K175" s="32"/>
      <c r="L175" s="32"/>
      <c r="M175" s="32"/>
      <c r="N175" s="32"/>
    </row>
    <row r="176" spans="1:14" ht="15" customHeight="1">
      <c r="A176" s="30"/>
      <c r="B176" s="30"/>
      <c r="C176" s="33" t="str">
        <f>IF(B176="","",IFERROR(INDEX(품목마스터!$B$2:$B$300,MATCH(B176,품목마스터!$A$2:$A$300,0)),"※미등록"))</f>
        <v/>
      </c>
      <c r="D176" s="32"/>
      <c r="E176" s="33" t="str">
        <f>IF(D176="","",IFERROR(INDEX(담당자마스터!$B$2:$B$300,MATCH(D176,담당자마스터!$A$2:$A$300,0)),"※미등록"))</f>
        <v/>
      </c>
      <c r="F176" s="32"/>
      <c r="G176" s="34"/>
      <c r="H176" s="32"/>
      <c r="I176" s="32"/>
      <c r="J176" s="31"/>
      <c r="K176" s="32"/>
      <c r="L176" s="32"/>
      <c r="M176" s="32"/>
      <c r="N176" s="32"/>
    </row>
    <row r="177" spans="1:14" ht="15" customHeight="1">
      <c r="A177" s="30"/>
      <c r="B177" s="30"/>
      <c r="C177" s="33" t="str">
        <f>IF(B177="","",IFERROR(INDEX(품목마스터!$B$2:$B$300,MATCH(B177,품목마스터!$A$2:$A$300,0)),"※미등록"))</f>
        <v/>
      </c>
      <c r="D177" s="32"/>
      <c r="E177" s="33" t="str">
        <f>IF(D177="","",IFERROR(INDEX(담당자마스터!$B$2:$B$300,MATCH(D177,담당자마스터!$A$2:$A$300,0)),"※미등록"))</f>
        <v/>
      </c>
      <c r="F177" s="32"/>
      <c r="G177" s="34"/>
      <c r="H177" s="32"/>
      <c r="I177" s="32"/>
      <c r="J177" s="31"/>
      <c r="K177" s="32"/>
      <c r="L177" s="32"/>
      <c r="M177" s="32"/>
      <c r="N177" s="32"/>
    </row>
    <row r="178" spans="1:14" ht="15" customHeight="1">
      <c r="A178" s="30"/>
      <c r="B178" s="30"/>
      <c r="C178" s="33" t="str">
        <f>IF(B178="","",IFERROR(INDEX(품목마스터!$B$2:$B$300,MATCH(B178,품목마스터!$A$2:$A$300,0)),"※미등록"))</f>
        <v/>
      </c>
      <c r="D178" s="32"/>
      <c r="E178" s="33" t="str">
        <f>IF(D178="","",IFERROR(INDEX(담당자마스터!$B$2:$B$300,MATCH(D178,담당자마스터!$A$2:$A$300,0)),"※미등록"))</f>
        <v/>
      </c>
      <c r="F178" s="32"/>
      <c r="G178" s="34"/>
      <c r="H178" s="32"/>
      <c r="I178" s="32"/>
      <c r="J178" s="31"/>
      <c r="K178" s="32"/>
      <c r="L178" s="32"/>
      <c r="M178" s="32"/>
      <c r="N178" s="32"/>
    </row>
    <row r="179" spans="1:14" ht="15" customHeight="1">
      <c r="A179" s="30"/>
      <c r="B179" s="30"/>
      <c r="C179" s="33" t="str">
        <f>IF(B179="","",IFERROR(INDEX(품목마스터!$B$2:$B$300,MATCH(B179,품목마스터!$A$2:$A$300,0)),"※미등록"))</f>
        <v/>
      </c>
      <c r="D179" s="32"/>
      <c r="E179" s="33" t="str">
        <f>IF(D179="","",IFERROR(INDEX(담당자마스터!$B$2:$B$300,MATCH(D179,담당자마스터!$A$2:$A$300,0)),"※미등록"))</f>
        <v/>
      </c>
      <c r="F179" s="32"/>
      <c r="G179" s="34"/>
      <c r="H179" s="32"/>
      <c r="I179" s="32"/>
      <c r="J179" s="31"/>
      <c r="K179" s="32"/>
      <c r="L179" s="32"/>
      <c r="M179" s="32"/>
      <c r="N179" s="32"/>
    </row>
    <row r="180" spans="1:14" ht="15" customHeight="1">
      <c r="A180" s="30"/>
      <c r="B180" s="30"/>
      <c r="C180" s="33" t="str">
        <f>IF(B180="","",IFERROR(INDEX(품목마스터!$B$2:$B$300,MATCH(B180,품목마스터!$A$2:$A$300,0)),"※미등록"))</f>
        <v/>
      </c>
      <c r="D180" s="32"/>
      <c r="E180" s="33" t="str">
        <f>IF(D180="","",IFERROR(INDEX(담당자마스터!$B$2:$B$300,MATCH(D180,담당자마스터!$A$2:$A$300,0)),"※미등록"))</f>
        <v/>
      </c>
      <c r="F180" s="32"/>
      <c r="G180" s="34"/>
      <c r="H180" s="32"/>
      <c r="I180" s="32"/>
      <c r="J180" s="31"/>
      <c r="K180" s="32"/>
      <c r="L180" s="32"/>
      <c r="M180" s="32"/>
      <c r="N180" s="32"/>
    </row>
    <row r="181" spans="1:14" ht="15" customHeight="1">
      <c r="A181" s="30"/>
      <c r="B181" s="30"/>
      <c r="C181" s="33" t="str">
        <f>IF(B181="","",IFERROR(INDEX(품목마스터!$B$2:$B$300,MATCH(B181,품목마스터!$A$2:$A$300,0)),"※미등록"))</f>
        <v/>
      </c>
      <c r="D181" s="32"/>
      <c r="E181" s="33" t="str">
        <f>IF(D181="","",IFERROR(INDEX(담당자마스터!$B$2:$B$300,MATCH(D181,담당자마스터!$A$2:$A$300,0)),"※미등록"))</f>
        <v/>
      </c>
      <c r="F181" s="32"/>
      <c r="G181" s="34"/>
      <c r="H181" s="32"/>
      <c r="I181" s="32"/>
      <c r="J181" s="31"/>
      <c r="K181" s="32"/>
      <c r="L181" s="32"/>
      <c r="M181" s="32"/>
      <c r="N181" s="32"/>
    </row>
    <row r="182" spans="1:14" ht="15" customHeight="1">
      <c r="A182" s="30"/>
      <c r="B182" s="30"/>
      <c r="C182" s="33" t="str">
        <f>IF(B182="","",IFERROR(INDEX(품목마스터!$B$2:$B$300,MATCH(B182,품목마스터!$A$2:$A$300,0)),"※미등록"))</f>
        <v/>
      </c>
      <c r="D182" s="32"/>
      <c r="E182" s="33" t="str">
        <f>IF(D182="","",IFERROR(INDEX(담당자마스터!$B$2:$B$300,MATCH(D182,담당자마스터!$A$2:$A$300,0)),"※미등록"))</f>
        <v/>
      </c>
      <c r="F182" s="32"/>
      <c r="G182" s="34"/>
      <c r="H182" s="32"/>
      <c r="I182" s="32"/>
      <c r="J182" s="31"/>
      <c r="K182" s="32"/>
      <c r="L182" s="32"/>
      <c r="M182" s="32"/>
      <c r="N182" s="32"/>
    </row>
    <row r="183" spans="1:14" ht="15" customHeight="1">
      <c r="A183" s="30"/>
      <c r="B183" s="30"/>
      <c r="C183" s="33" t="str">
        <f>IF(B183="","",IFERROR(INDEX(품목마스터!$B$2:$B$300,MATCH(B183,품목마스터!$A$2:$A$300,0)),"※미등록"))</f>
        <v/>
      </c>
      <c r="D183" s="32"/>
      <c r="E183" s="33" t="str">
        <f>IF(D183="","",IFERROR(INDEX(담당자마스터!$B$2:$B$300,MATCH(D183,담당자마스터!$A$2:$A$300,0)),"※미등록"))</f>
        <v/>
      </c>
      <c r="F183" s="32"/>
      <c r="G183" s="34"/>
      <c r="H183" s="32"/>
      <c r="I183" s="32"/>
      <c r="J183" s="31"/>
      <c r="K183" s="32"/>
      <c r="L183" s="32"/>
      <c r="M183" s="32"/>
      <c r="N183" s="32"/>
    </row>
    <row r="184" spans="1:14" ht="15" customHeight="1">
      <c r="A184" s="30"/>
      <c r="B184" s="30"/>
      <c r="C184" s="33" t="str">
        <f>IF(B184="","",IFERROR(INDEX(품목마스터!$B$2:$B$300,MATCH(B184,품목마스터!$A$2:$A$300,0)),"※미등록"))</f>
        <v/>
      </c>
      <c r="D184" s="32"/>
      <c r="E184" s="33" t="str">
        <f>IF(D184="","",IFERROR(INDEX(담당자마스터!$B$2:$B$300,MATCH(D184,담당자마스터!$A$2:$A$300,0)),"※미등록"))</f>
        <v/>
      </c>
      <c r="F184" s="32"/>
      <c r="G184" s="34"/>
      <c r="H184" s="32"/>
      <c r="I184" s="32"/>
      <c r="J184" s="31"/>
      <c r="K184" s="32"/>
      <c r="L184" s="32"/>
      <c r="M184" s="32"/>
      <c r="N184" s="32"/>
    </row>
    <row r="185" spans="1:14" ht="15" customHeight="1">
      <c r="A185" s="30"/>
      <c r="B185" s="30"/>
      <c r="C185" s="33" t="str">
        <f>IF(B185="","",IFERROR(INDEX(품목마스터!$B$2:$B$300,MATCH(B185,품목마스터!$A$2:$A$300,0)),"※미등록"))</f>
        <v/>
      </c>
      <c r="D185" s="32"/>
      <c r="E185" s="33" t="str">
        <f>IF(D185="","",IFERROR(INDEX(담당자마스터!$B$2:$B$300,MATCH(D185,담당자마스터!$A$2:$A$300,0)),"※미등록"))</f>
        <v/>
      </c>
      <c r="F185" s="32"/>
      <c r="G185" s="34"/>
      <c r="H185" s="32"/>
      <c r="I185" s="32"/>
      <c r="J185" s="31"/>
      <c r="K185" s="32"/>
      <c r="L185" s="32"/>
      <c r="M185" s="32"/>
      <c r="N185" s="32"/>
    </row>
    <row r="186" spans="1:14" ht="15" customHeight="1">
      <c r="A186" s="30"/>
      <c r="B186" s="30"/>
      <c r="C186" s="33" t="str">
        <f>IF(B186="","",IFERROR(INDEX(품목마스터!$B$2:$B$300,MATCH(B186,품목마스터!$A$2:$A$300,0)),"※미등록"))</f>
        <v/>
      </c>
      <c r="D186" s="32"/>
      <c r="E186" s="33" t="str">
        <f>IF(D186="","",IFERROR(INDEX(담당자마스터!$B$2:$B$300,MATCH(D186,담당자마스터!$A$2:$A$300,0)),"※미등록"))</f>
        <v/>
      </c>
      <c r="F186" s="32"/>
      <c r="G186" s="34"/>
      <c r="H186" s="32"/>
      <c r="I186" s="32"/>
      <c r="J186" s="31"/>
      <c r="K186" s="32"/>
      <c r="L186" s="32"/>
      <c r="M186" s="32"/>
      <c r="N186" s="32"/>
    </row>
    <row r="187" spans="1:14" ht="15" customHeight="1">
      <c r="A187" s="30"/>
      <c r="B187" s="30"/>
      <c r="C187" s="33" t="str">
        <f>IF(B187="","",IFERROR(INDEX(품목마스터!$B$2:$B$300,MATCH(B187,품목마스터!$A$2:$A$300,0)),"※미등록"))</f>
        <v/>
      </c>
      <c r="D187" s="32"/>
      <c r="E187" s="33" t="str">
        <f>IF(D187="","",IFERROR(INDEX(담당자마스터!$B$2:$B$300,MATCH(D187,담당자마스터!$A$2:$A$300,0)),"※미등록"))</f>
        <v/>
      </c>
      <c r="F187" s="32"/>
      <c r="G187" s="34"/>
      <c r="H187" s="32"/>
      <c r="I187" s="32"/>
      <c r="J187" s="31"/>
      <c r="K187" s="32"/>
      <c r="L187" s="32"/>
      <c r="M187" s="32"/>
      <c r="N187" s="32"/>
    </row>
    <row r="188" spans="1:14" ht="15" customHeight="1">
      <c r="A188" s="30"/>
      <c r="B188" s="30"/>
      <c r="C188" s="33" t="str">
        <f>IF(B188="","",IFERROR(INDEX(품목마스터!$B$2:$B$300,MATCH(B188,품목마스터!$A$2:$A$300,0)),"※미등록"))</f>
        <v/>
      </c>
      <c r="D188" s="32"/>
      <c r="E188" s="33" t="str">
        <f>IF(D188="","",IFERROR(INDEX(담당자마스터!$B$2:$B$300,MATCH(D188,담당자마스터!$A$2:$A$300,0)),"※미등록"))</f>
        <v/>
      </c>
      <c r="F188" s="32"/>
      <c r="G188" s="34"/>
      <c r="H188" s="32"/>
      <c r="I188" s="32"/>
      <c r="J188" s="31"/>
      <c r="K188" s="32"/>
      <c r="L188" s="32"/>
      <c r="M188" s="32"/>
      <c r="N188" s="32"/>
    </row>
    <row r="189" spans="1:14" ht="15" customHeight="1">
      <c r="A189" s="30"/>
      <c r="B189" s="30"/>
      <c r="C189" s="33" t="str">
        <f>IF(B189="","",IFERROR(INDEX(품목마스터!$B$2:$B$300,MATCH(B189,품목마스터!$A$2:$A$300,0)),"※미등록"))</f>
        <v/>
      </c>
      <c r="D189" s="32"/>
      <c r="E189" s="33" t="str">
        <f>IF(D189="","",IFERROR(INDEX(담당자마스터!$B$2:$B$300,MATCH(D189,담당자마스터!$A$2:$A$300,0)),"※미등록"))</f>
        <v/>
      </c>
      <c r="F189" s="32"/>
      <c r="G189" s="34"/>
      <c r="H189" s="32"/>
      <c r="I189" s="32"/>
      <c r="J189" s="31"/>
      <c r="K189" s="32"/>
      <c r="L189" s="32"/>
      <c r="M189" s="32"/>
      <c r="N189" s="32"/>
    </row>
    <row r="190" spans="1:14" ht="15" customHeight="1">
      <c r="A190" s="30"/>
      <c r="B190" s="30"/>
      <c r="C190" s="33" t="str">
        <f>IF(B190="","",IFERROR(INDEX(품목마스터!$B$2:$B$300,MATCH(B190,품목마스터!$A$2:$A$300,0)),"※미등록"))</f>
        <v/>
      </c>
      <c r="D190" s="32"/>
      <c r="E190" s="33" t="str">
        <f>IF(D190="","",IFERROR(INDEX(담당자마스터!$B$2:$B$300,MATCH(D190,담당자마스터!$A$2:$A$300,0)),"※미등록"))</f>
        <v/>
      </c>
      <c r="F190" s="32"/>
      <c r="G190" s="34"/>
      <c r="H190" s="32"/>
      <c r="I190" s="32"/>
      <c r="J190" s="31"/>
      <c r="K190" s="32"/>
      <c r="L190" s="32"/>
      <c r="M190" s="32"/>
      <c r="N190" s="32"/>
    </row>
    <row r="191" spans="1:14" ht="15" customHeight="1">
      <c r="A191" s="30"/>
      <c r="B191" s="30"/>
      <c r="C191" s="33" t="str">
        <f>IF(B191="","",IFERROR(INDEX(품목마스터!$B$2:$B$300,MATCH(B191,품목마스터!$A$2:$A$300,0)),"※미등록"))</f>
        <v/>
      </c>
      <c r="D191" s="32"/>
      <c r="E191" s="33" t="str">
        <f>IF(D191="","",IFERROR(INDEX(담당자마스터!$B$2:$B$300,MATCH(D191,담당자마스터!$A$2:$A$300,0)),"※미등록"))</f>
        <v/>
      </c>
      <c r="F191" s="32"/>
      <c r="G191" s="34"/>
      <c r="H191" s="32"/>
      <c r="I191" s="32"/>
      <c r="J191" s="31"/>
      <c r="K191" s="32"/>
      <c r="L191" s="32"/>
      <c r="M191" s="32"/>
      <c r="N191" s="32"/>
    </row>
    <row r="192" spans="1:14" ht="15" customHeight="1">
      <c r="A192" s="30"/>
      <c r="B192" s="30"/>
      <c r="C192" s="33" t="str">
        <f>IF(B192="","",IFERROR(INDEX(품목마스터!$B$2:$B$300,MATCH(B192,품목마스터!$A$2:$A$300,0)),"※미등록"))</f>
        <v/>
      </c>
      <c r="D192" s="32"/>
      <c r="E192" s="33" t="str">
        <f>IF(D192="","",IFERROR(INDEX(담당자마스터!$B$2:$B$300,MATCH(D192,담당자마스터!$A$2:$A$300,0)),"※미등록"))</f>
        <v/>
      </c>
      <c r="F192" s="32"/>
      <c r="G192" s="34"/>
      <c r="H192" s="32"/>
      <c r="I192" s="32"/>
      <c r="J192" s="31"/>
      <c r="K192" s="32"/>
      <c r="L192" s="32"/>
      <c r="M192" s="32"/>
      <c r="N192" s="32"/>
    </row>
    <row r="193" spans="1:14" ht="15" customHeight="1">
      <c r="A193" s="30"/>
      <c r="B193" s="30"/>
      <c r="C193" s="33" t="str">
        <f>IF(B193="","",IFERROR(INDEX(품목마스터!$B$2:$B$300,MATCH(B193,품목마스터!$A$2:$A$300,0)),"※미등록"))</f>
        <v/>
      </c>
      <c r="D193" s="32"/>
      <c r="E193" s="33" t="str">
        <f>IF(D193="","",IFERROR(INDEX(담당자마스터!$B$2:$B$300,MATCH(D193,담당자마스터!$A$2:$A$300,0)),"※미등록"))</f>
        <v/>
      </c>
      <c r="F193" s="32"/>
      <c r="G193" s="34"/>
      <c r="H193" s="32"/>
      <c r="I193" s="32"/>
      <c r="J193" s="31"/>
      <c r="K193" s="32"/>
      <c r="L193" s="32"/>
      <c r="M193" s="32"/>
      <c r="N193" s="32"/>
    </row>
    <row r="194" spans="1:14" ht="15" customHeight="1">
      <c r="A194" s="30"/>
      <c r="B194" s="30"/>
      <c r="C194" s="33" t="str">
        <f>IF(B194="","",IFERROR(INDEX(품목마스터!$B$2:$B$300,MATCH(B194,품목마스터!$A$2:$A$300,0)),"※미등록"))</f>
        <v/>
      </c>
      <c r="D194" s="32"/>
      <c r="E194" s="33" t="str">
        <f>IF(D194="","",IFERROR(INDEX(담당자마스터!$B$2:$B$300,MATCH(D194,담당자마스터!$A$2:$A$300,0)),"※미등록"))</f>
        <v/>
      </c>
      <c r="F194" s="32"/>
      <c r="G194" s="34"/>
      <c r="H194" s="32"/>
      <c r="I194" s="32"/>
      <c r="J194" s="31"/>
      <c r="K194" s="32"/>
      <c r="L194" s="32"/>
      <c r="M194" s="32"/>
      <c r="N194" s="32"/>
    </row>
    <row r="195" spans="1:14" ht="15" customHeight="1">
      <c r="A195" s="30"/>
      <c r="B195" s="30"/>
      <c r="C195" s="33" t="str">
        <f>IF(B195="","",IFERROR(INDEX(품목마스터!$B$2:$B$300,MATCH(B195,품목마스터!$A$2:$A$300,0)),"※미등록"))</f>
        <v/>
      </c>
      <c r="D195" s="32"/>
      <c r="E195" s="33" t="str">
        <f>IF(D195="","",IFERROR(INDEX(담당자마스터!$B$2:$B$300,MATCH(D195,담당자마스터!$A$2:$A$300,0)),"※미등록"))</f>
        <v/>
      </c>
      <c r="F195" s="32"/>
      <c r="G195" s="34"/>
      <c r="H195" s="32"/>
      <c r="I195" s="32"/>
      <c r="J195" s="31"/>
      <c r="K195" s="32"/>
      <c r="L195" s="32"/>
      <c r="M195" s="32"/>
      <c r="N195" s="32"/>
    </row>
    <row r="196" spans="1:14" ht="15" customHeight="1">
      <c r="A196" s="30"/>
      <c r="B196" s="30"/>
      <c r="C196" s="33" t="str">
        <f>IF(B196="","",IFERROR(INDEX(품목마스터!$B$2:$B$300,MATCH(B196,품목마스터!$A$2:$A$300,0)),"※미등록"))</f>
        <v/>
      </c>
      <c r="D196" s="32"/>
      <c r="E196" s="33" t="str">
        <f>IF(D196="","",IFERROR(INDEX(담당자마스터!$B$2:$B$300,MATCH(D196,담당자마스터!$A$2:$A$300,0)),"※미등록"))</f>
        <v/>
      </c>
      <c r="F196" s="32"/>
      <c r="G196" s="34"/>
      <c r="H196" s="32"/>
      <c r="I196" s="32"/>
      <c r="J196" s="31"/>
      <c r="K196" s="32"/>
      <c r="L196" s="32"/>
      <c r="M196" s="32"/>
      <c r="N196" s="32"/>
    </row>
    <row r="197" spans="1:14" ht="15" customHeight="1">
      <c r="A197" s="30"/>
      <c r="B197" s="30"/>
      <c r="C197" s="33" t="str">
        <f>IF(B197="","",IFERROR(INDEX(품목마스터!$B$2:$B$300,MATCH(B197,품목마스터!$A$2:$A$300,0)),"※미등록"))</f>
        <v/>
      </c>
      <c r="D197" s="32"/>
      <c r="E197" s="33" t="str">
        <f>IF(D197="","",IFERROR(INDEX(담당자마스터!$B$2:$B$300,MATCH(D197,담당자마스터!$A$2:$A$300,0)),"※미등록"))</f>
        <v/>
      </c>
      <c r="F197" s="32"/>
      <c r="G197" s="34"/>
      <c r="H197" s="32"/>
      <c r="I197" s="32"/>
      <c r="J197" s="31"/>
      <c r="K197" s="32"/>
      <c r="L197" s="32"/>
      <c r="M197" s="32"/>
      <c r="N197" s="32"/>
    </row>
    <row r="198" spans="1:14" ht="15" customHeight="1">
      <c r="A198" s="30"/>
      <c r="B198" s="30"/>
      <c r="C198" s="33" t="str">
        <f>IF(B198="","",IFERROR(INDEX(품목마스터!$B$2:$B$300,MATCH(B198,품목마스터!$A$2:$A$300,0)),"※미등록"))</f>
        <v/>
      </c>
      <c r="D198" s="32"/>
      <c r="E198" s="33" t="str">
        <f>IF(D198="","",IFERROR(INDEX(담당자마스터!$B$2:$B$300,MATCH(D198,담당자마스터!$A$2:$A$300,0)),"※미등록"))</f>
        <v/>
      </c>
      <c r="F198" s="32"/>
      <c r="G198" s="34"/>
      <c r="H198" s="32"/>
      <c r="I198" s="32"/>
      <c r="J198" s="31"/>
      <c r="K198" s="32"/>
      <c r="L198" s="32"/>
      <c r="M198" s="32"/>
      <c r="N198" s="32"/>
    </row>
    <row r="199" spans="1:14" ht="15" customHeight="1">
      <c r="A199" s="30"/>
      <c r="B199" s="30"/>
      <c r="C199" s="33" t="str">
        <f>IF(B199="","",IFERROR(INDEX(품목마스터!$B$2:$B$300,MATCH(B199,품목마스터!$A$2:$A$300,0)),"※미등록"))</f>
        <v/>
      </c>
      <c r="D199" s="32"/>
      <c r="E199" s="33" t="str">
        <f>IF(D199="","",IFERROR(INDEX(담당자마스터!$B$2:$B$300,MATCH(D199,담당자마스터!$A$2:$A$300,0)),"※미등록"))</f>
        <v/>
      </c>
      <c r="F199" s="32"/>
      <c r="G199" s="34"/>
      <c r="H199" s="32"/>
      <c r="I199" s="32"/>
      <c r="J199" s="31"/>
      <c r="K199" s="32"/>
      <c r="L199" s="32"/>
      <c r="M199" s="32"/>
      <c r="N199" s="32"/>
    </row>
    <row r="200" spans="1:14" ht="15" customHeight="1">
      <c r="A200" s="30"/>
      <c r="B200" s="30"/>
      <c r="C200" s="33" t="str">
        <f>IF(B200="","",IFERROR(INDEX(품목마스터!$B$2:$B$300,MATCH(B200,품목마스터!$A$2:$A$300,0)),"※미등록"))</f>
        <v/>
      </c>
      <c r="D200" s="32"/>
      <c r="E200" s="33" t="str">
        <f>IF(D200="","",IFERROR(INDEX(담당자마스터!$B$2:$B$300,MATCH(D200,담당자마스터!$A$2:$A$300,0)),"※미등록"))</f>
        <v/>
      </c>
      <c r="F200" s="32"/>
      <c r="G200" s="34"/>
      <c r="H200" s="32"/>
      <c r="I200" s="32"/>
      <c r="J200" s="31"/>
      <c r="K200" s="32"/>
      <c r="L200" s="32"/>
      <c r="M200" s="32"/>
      <c r="N200" s="32"/>
    </row>
    <row r="201" spans="1:14" ht="15" customHeight="1">
      <c r="A201" s="30"/>
      <c r="B201" s="30"/>
      <c r="C201" s="33" t="str">
        <f>IF(B201="","",IFERROR(INDEX(품목마스터!$B$2:$B$300,MATCH(B201,품목마스터!$A$2:$A$300,0)),"※미등록"))</f>
        <v/>
      </c>
      <c r="D201" s="32"/>
      <c r="E201" s="33" t="str">
        <f>IF(D201="","",IFERROR(INDEX(담당자마스터!$B$2:$B$300,MATCH(D201,담당자마스터!$A$2:$A$300,0)),"※미등록"))</f>
        <v/>
      </c>
      <c r="F201" s="32"/>
      <c r="G201" s="34"/>
      <c r="H201" s="32"/>
      <c r="I201" s="32"/>
      <c r="J201" s="31"/>
      <c r="K201" s="32"/>
      <c r="L201" s="32"/>
      <c r="M201" s="32"/>
      <c r="N201" s="32"/>
    </row>
    <row r="202" spans="1:14" ht="15" customHeight="1">
      <c r="A202" s="30"/>
      <c r="B202" s="30"/>
      <c r="C202" s="33" t="str">
        <f>IF(B202="","",IFERROR(INDEX(품목마스터!$B$2:$B$300,MATCH(B202,품목마스터!$A$2:$A$300,0)),"※미등록"))</f>
        <v/>
      </c>
      <c r="D202" s="32"/>
      <c r="E202" s="33" t="str">
        <f>IF(D202="","",IFERROR(INDEX(담당자마스터!$B$2:$B$300,MATCH(D202,담당자마스터!$A$2:$A$300,0)),"※미등록"))</f>
        <v/>
      </c>
      <c r="F202" s="32"/>
      <c r="G202" s="34"/>
      <c r="H202" s="32"/>
      <c r="I202" s="32"/>
      <c r="J202" s="31"/>
      <c r="K202" s="32"/>
      <c r="L202" s="32"/>
      <c r="M202" s="32"/>
      <c r="N202" s="32"/>
    </row>
    <row r="203" spans="1:14" ht="15" customHeight="1">
      <c r="A203" s="30"/>
      <c r="B203" s="30"/>
      <c r="C203" s="33" t="str">
        <f>IF(B203="","",IFERROR(INDEX(품목마스터!$B$2:$B$300,MATCH(B203,품목마스터!$A$2:$A$300,0)),"※미등록"))</f>
        <v/>
      </c>
      <c r="D203" s="32"/>
      <c r="E203" s="33" t="str">
        <f>IF(D203="","",IFERROR(INDEX(담당자마스터!$B$2:$B$300,MATCH(D203,담당자마스터!$A$2:$A$300,0)),"※미등록"))</f>
        <v/>
      </c>
      <c r="F203" s="32"/>
      <c r="G203" s="34"/>
      <c r="H203" s="32"/>
      <c r="I203" s="32"/>
      <c r="J203" s="31"/>
      <c r="K203" s="32"/>
      <c r="L203" s="32"/>
      <c r="M203" s="32"/>
      <c r="N203" s="32"/>
    </row>
    <row r="204" spans="1:14" ht="15" customHeight="1">
      <c r="A204" s="30"/>
      <c r="B204" s="30"/>
      <c r="C204" s="33" t="str">
        <f>IF(B204="","",IFERROR(INDEX(품목마스터!$B$2:$B$300,MATCH(B204,품목마스터!$A$2:$A$300,0)),"※미등록"))</f>
        <v/>
      </c>
      <c r="D204" s="32"/>
      <c r="E204" s="33" t="str">
        <f>IF(D204="","",IFERROR(INDEX(담당자마스터!$B$2:$B$300,MATCH(D204,담당자마스터!$A$2:$A$300,0)),"※미등록"))</f>
        <v/>
      </c>
      <c r="F204" s="32"/>
      <c r="G204" s="34"/>
      <c r="H204" s="32"/>
      <c r="I204" s="32"/>
      <c r="J204" s="31"/>
      <c r="K204" s="32"/>
      <c r="L204" s="32"/>
      <c r="M204" s="32"/>
      <c r="N204" s="32"/>
    </row>
    <row r="205" spans="1:14" ht="15" customHeight="1">
      <c r="A205" s="30"/>
      <c r="B205" s="30"/>
      <c r="C205" s="33" t="str">
        <f>IF(B205="","",IFERROR(INDEX(품목마스터!$B$2:$B$300,MATCH(B205,품목마스터!$A$2:$A$300,0)),"※미등록"))</f>
        <v/>
      </c>
      <c r="D205" s="32"/>
      <c r="E205" s="33" t="str">
        <f>IF(D205="","",IFERROR(INDEX(담당자마스터!$B$2:$B$300,MATCH(D205,담당자마스터!$A$2:$A$300,0)),"※미등록"))</f>
        <v/>
      </c>
      <c r="F205" s="32"/>
      <c r="G205" s="34"/>
      <c r="H205" s="32"/>
      <c r="I205" s="32"/>
      <c r="J205" s="31"/>
      <c r="K205" s="32"/>
      <c r="L205" s="32"/>
      <c r="M205" s="32"/>
      <c r="N205" s="32"/>
    </row>
    <row r="206" spans="1:14" ht="15" customHeight="1">
      <c r="A206" s="30"/>
      <c r="B206" s="30"/>
      <c r="C206" s="33" t="str">
        <f>IF(B206="","",IFERROR(INDEX(품목마스터!$B$2:$B$300,MATCH(B206,품목마스터!$A$2:$A$300,0)),"※미등록"))</f>
        <v/>
      </c>
      <c r="D206" s="32"/>
      <c r="E206" s="33" t="str">
        <f>IF(D206="","",IFERROR(INDEX(담당자마스터!$B$2:$B$300,MATCH(D206,담당자마스터!$A$2:$A$300,0)),"※미등록"))</f>
        <v/>
      </c>
      <c r="F206" s="32"/>
      <c r="G206" s="34"/>
      <c r="H206" s="32"/>
      <c r="I206" s="32"/>
      <c r="J206" s="31"/>
      <c r="K206" s="32"/>
      <c r="L206" s="32"/>
      <c r="M206" s="32"/>
      <c r="N206" s="32"/>
    </row>
    <row r="207" spans="1:14" ht="15" customHeight="1">
      <c r="A207" s="30"/>
      <c r="B207" s="30"/>
      <c r="C207" s="33" t="str">
        <f>IF(B207="","",IFERROR(INDEX(품목마스터!$B$2:$B$300,MATCH(B207,품목마스터!$A$2:$A$300,0)),"※미등록"))</f>
        <v/>
      </c>
      <c r="D207" s="32"/>
      <c r="E207" s="33" t="str">
        <f>IF(D207="","",IFERROR(INDEX(담당자마스터!$B$2:$B$300,MATCH(D207,담당자마스터!$A$2:$A$300,0)),"※미등록"))</f>
        <v/>
      </c>
      <c r="F207" s="32"/>
      <c r="G207" s="34"/>
      <c r="H207" s="32"/>
      <c r="I207" s="32"/>
      <c r="J207" s="31"/>
      <c r="K207" s="32"/>
      <c r="L207" s="32"/>
      <c r="M207" s="32"/>
      <c r="N207" s="32"/>
    </row>
    <row r="208" spans="1:14" ht="15" customHeight="1">
      <c r="A208" s="30"/>
      <c r="B208" s="30"/>
      <c r="C208" s="33" t="str">
        <f>IF(B208="","",IFERROR(INDEX(품목마스터!$B$2:$B$300,MATCH(B208,품목마스터!$A$2:$A$300,0)),"※미등록"))</f>
        <v/>
      </c>
      <c r="D208" s="32"/>
      <c r="E208" s="33" t="str">
        <f>IF(D208="","",IFERROR(INDEX(담당자마스터!$B$2:$B$300,MATCH(D208,담당자마스터!$A$2:$A$300,0)),"※미등록"))</f>
        <v/>
      </c>
      <c r="F208" s="32"/>
      <c r="G208" s="34"/>
      <c r="H208" s="32"/>
      <c r="I208" s="32"/>
      <c r="J208" s="31"/>
      <c r="K208" s="32"/>
      <c r="L208" s="32"/>
      <c r="M208" s="32"/>
      <c r="N208" s="32"/>
    </row>
    <row r="209" spans="1:14" ht="15" customHeight="1">
      <c r="A209" s="30"/>
      <c r="B209" s="30"/>
      <c r="C209" s="33" t="str">
        <f>IF(B209="","",IFERROR(INDEX(품목마스터!$B$2:$B$300,MATCH(B209,품목마스터!$A$2:$A$300,0)),"※미등록"))</f>
        <v/>
      </c>
      <c r="D209" s="32"/>
      <c r="E209" s="33" t="str">
        <f>IF(D209="","",IFERROR(INDEX(담당자마스터!$B$2:$B$300,MATCH(D209,담당자마스터!$A$2:$A$300,0)),"※미등록"))</f>
        <v/>
      </c>
      <c r="F209" s="32"/>
      <c r="G209" s="34"/>
      <c r="H209" s="32"/>
      <c r="I209" s="32"/>
      <c r="J209" s="31"/>
      <c r="K209" s="32"/>
      <c r="L209" s="32"/>
      <c r="M209" s="32"/>
      <c r="N209" s="32"/>
    </row>
    <row r="210" spans="1:14" ht="15" customHeight="1">
      <c r="A210" s="30"/>
      <c r="B210" s="30"/>
      <c r="C210" s="33" t="str">
        <f>IF(B210="","",IFERROR(INDEX(품목마스터!$B$2:$B$300,MATCH(B210,품목마스터!$A$2:$A$300,0)),"※미등록"))</f>
        <v/>
      </c>
      <c r="D210" s="32"/>
      <c r="E210" s="33" t="str">
        <f>IF(D210="","",IFERROR(INDEX(담당자마스터!$B$2:$B$300,MATCH(D210,담당자마스터!$A$2:$A$300,0)),"※미등록"))</f>
        <v/>
      </c>
      <c r="F210" s="32"/>
      <c r="G210" s="34"/>
      <c r="H210" s="32"/>
      <c r="I210" s="32"/>
      <c r="J210" s="31"/>
      <c r="K210" s="32"/>
      <c r="L210" s="32"/>
      <c r="M210" s="32"/>
      <c r="N210" s="32"/>
    </row>
    <row r="211" spans="1:14" ht="15" customHeight="1">
      <c r="A211" s="30"/>
      <c r="B211" s="30"/>
      <c r="C211" s="33" t="str">
        <f>IF(B211="","",IFERROR(INDEX(품목마스터!$B$2:$B$300,MATCH(B211,품목마스터!$A$2:$A$300,0)),"※미등록"))</f>
        <v/>
      </c>
      <c r="D211" s="32"/>
      <c r="E211" s="33" t="str">
        <f>IF(D211="","",IFERROR(INDEX(담당자마스터!$B$2:$B$300,MATCH(D211,담당자마스터!$A$2:$A$300,0)),"※미등록"))</f>
        <v/>
      </c>
      <c r="F211" s="32"/>
      <c r="G211" s="34"/>
      <c r="H211" s="32"/>
      <c r="I211" s="32"/>
      <c r="J211" s="31"/>
      <c r="K211" s="32"/>
      <c r="L211" s="32"/>
      <c r="M211" s="32"/>
      <c r="N211" s="32"/>
    </row>
    <row r="212" spans="1:14" ht="15" customHeight="1">
      <c r="A212" s="30"/>
      <c r="B212" s="30"/>
      <c r="C212" s="33" t="str">
        <f>IF(B212="","",IFERROR(INDEX(품목마스터!$B$2:$B$300,MATCH(B212,품목마스터!$A$2:$A$300,0)),"※미등록"))</f>
        <v/>
      </c>
      <c r="D212" s="32"/>
      <c r="E212" s="33" t="str">
        <f>IF(D212="","",IFERROR(INDEX(담당자마스터!$B$2:$B$300,MATCH(D212,담당자마스터!$A$2:$A$300,0)),"※미등록"))</f>
        <v/>
      </c>
      <c r="F212" s="32"/>
      <c r="G212" s="34"/>
      <c r="H212" s="32"/>
      <c r="I212" s="32"/>
      <c r="J212" s="31"/>
      <c r="K212" s="32"/>
      <c r="L212" s="32"/>
      <c r="M212" s="32"/>
      <c r="N212" s="32"/>
    </row>
    <row r="213" spans="1:14" ht="15" customHeight="1">
      <c r="A213" s="30"/>
      <c r="B213" s="30"/>
      <c r="C213" s="33" t="str">
        <f>IF(B213="","",IFERROR(INDEX(품목마스터!$B$2:$B$300,MATCH(B213,품목마스터!$A$2:$A$300,0)),"※미등록"))</f>
        <v/>
      </c>
      <c r="D213" s="32"/>
      <c r="E213" s="33" t="str">
        <f>IF(D213="","",IFERROR(INDEX(담당자마스터!$B$2:$B$300,MATCH(D213,담당자마스터!$A$2:$A$300,0)),"※미등록"))</f>
        <v/>
      </c>
      <c r="F213" s="32"/>
      <c r="G213" s="34"/>
      <c r="H213" s="32"/>
      <c r="I213" s="32"/>
      <c r="J213" s="31"/>
      <c r="K213" s="32"/>
      <c r="L213" s="32"/>
      <c r="M213" s="32"/>
      <c r="N213" s="32"/>
    </row>
    <row r="214" spans="1:14" ht="15" customHeight="1">
      <c r="A214" s="30"/>
      <c r="B214" s="30"/>
      <c r="C214" s="33" t="str">
        <f>IF(B214="","",IFERROR(INDEX(품목마스터!$B$2:$B$300,MATCH(B214,품목마스터!$A$2:$A$300,0)),"※미등록"))</f>
        <v/>
      </c>
      <c r="D214" s="32"/>
      <c r="E214" s="33" t="str">
        <f>IF(D214="","",IFERROR(INDEX(담당자마스터!$B$2:$B$300,MATCH(D214,담당자마스터!$A$2:$A$300,0)),"※미등록"))</f>
        <v/>
      </c>
      <c r="F214" s="32"/>
      <c r="G214" s="34"/>
      <c r="H214" s="32"/>
      <c r="I214" s="32"/>
      <c r="J214" s="31"/>
      <c r="K214" s="32"/>
      <c r="L214" s="32"/>
      <c r="M214" s="32"/>
      <c r="N214" s="32"/>
    </row>
    <row r="215" spans="1:14" ht="15" customHeight="1">
      <c r="A215" s="30"/>
      <c r="B215" s="30"/>
      <c r="C215" s="33" t="str">
        <f>IF(B215="","",IFERROR(INDEX(품목마스터!$B$2:$B$300,MATCH(B215,품목마스터!$A$2:$A$300,0)),"※미등록"))</f>
        <v/>
      </c>
      <c r="D215" s="32"/>
      <c r="E215" s="33" t="str">
        <f>IF(D215="","",IFERROR(INDEX(담당자마스터!$B$2:$B$300,MATCH(D215,담당자마스터!$A$2:$A$300,0)),"※미등록"))</f>
        <v/>
      </c>
      <c r="F215" s="32"/>
      <c r="G215" s="34"/>
      <c r="H215" s="32"/>
      <c r="I215" s="32"/>
      <c r="J215" s="31"/>
      <c r="K215" s="32"/>
      <c r="L215" s="32"/>
      <c r="M215" s="32"/>
      <c r="N215" s="32"/>
    </row>
    <row r="216" spans="1:14" ht="15" customHeight="1">
      <c r="A216" s="30"/>
      <c r="B216" s="30"/>
      <c r="C216" s="33" t="str">
        <f>IF(B216="","",IFERROR(INDEX(품목마스터!$B$2:$B$300,MATCH(B216,품목마스터!$A$2:$A$300,0)),"※미등록"))</f>
        <v/>
      </c>
      <c r="D216" s="32"/>
      <c r="E216" s="33" t="str">
        <f>IF(D216="","",IFERROR(INDEX(담당자마스터!$B$2:$B$300,MATCH(D216,담당자마스터!$A$2:$A$300,0)),"※미등록"))</f>
        <v/>
      </c>
      <c r="F216" s="32"/>
      <c r="G216" s="34"/>
      <c r="H216" s="32"/>
      <c r="I216" s="32"/>
      <c r="J216" s="31"/>
      <c r="K216" s="32"/>
      <c r="L216" s="32"/>
      <c r="M216" s="32"/>
      <c r="N216" s="32"/>
    </row>
    <row r="217" spans="1:14" ht="15" customHeight="1">
      <c r="A217" s="30"/>
      <c r="B217" s="30"/>
      <c r="C217" s="33" t="str">
        <f>IF(B217="","",IFERROR(INDEX(품목마스터!$B$2:$B$300,MATCH(B217,품목마스터!$A$2:$A$300,0)),"※미등록"))</f>
        <v/>
      </c>
      <c r="D217" s="32"/>
      <c r="E217" s="33" t="str">
        <f>IF(D217="","",IFERROR(INDEX(담당자마스터!$B$2:$B$300,MATCH(D217,담당자마스터!$A$2:$A$300,0)),"※미등록"))</f>
        <v/>
      </c>
      <c r="F217" s="32"/>
      <c r="G217" s="34"/>
      <c r="H217" s="32"/>
      <c r="I217" s="32"/>
      <c r="J217" s="31"/>
      <c r="K217" s="32"/>
      <c r="L217" s="32"/>
      <c r="M217" s="32"/>
      <c r="N217" s="32"/>
    </row>
    <row r="218" spans="1:14" ht="15" customHeight="1">
      <c r="A218" s="30"/>
      <c r="B218" s="30"/>
      <c r="C218" s="33" t="str">
        <f>IF(B218="","",IFERROR(INDEX(품목마스터!$B$2:$B$300,MATCH(B218,품목마스터!$A$2:$A$300,0)),"※미등록"))</f>
        <v/>
      </c>
      <c r="D218" s="32"/>
      <c r="E218" s="33" t="str">
        <f>IF(D218="","",IFERROR(INDEX(담당자마스터!$B$2:$B$300,MATCH(D218,담당자마스터!$A$2:$A$300,0)),"※미등록"))</f>
        <v/>
      </c>
      <c r="F218" s="32"/>
      <c r="G218" s="34"/>
      <c r="H218" s="32"/>
      <c r="I218" s="32"/>
      <c r="J218" s="31"/>
      <c r="K218" s="32"/>
      <c r="L218" s="32"/>
      <c r="M218" s="32"/>
      <c r="N218" s="32"/>
    </row>
    <row r="219" spans="1:14" ht="15" customHeight="1">
      <c r="A219" s="30"/>
      <c r="B219" s="30"/>
      <c r="C219" s="33" t="str">
        <f>IF(B219="","",IFERROR(INDEX(품목마스터!$B$2:$B$300,MATCH(B219,품목마스터!$A$2:$A$300,0)),"※미등록"))</f>
        <v/>
      </c>
      <c r="D219" s="32"/>
      <c r="E219" s="33" t="str">
        <f>IF(D219="","",IFERROR(INDEX(담당자마스터!$B$2:$B$300,MATCH(D219,담당자마스터!$A$2:$A$300,0)),"※미등록"))</f>
        <v/>
      </c>
      <c r="F219" s="32"/>
      <c r="G219" s="34"/>
      <c r="H219" s="32"/>
      <c r="I219" s="32"/>
      <c r="J219" s="31"/>
      <c r="K219" s="32"/>
      <c r="L219" s="32"/>
      <c r="M219" s="32"/>
      <c r="N219" s="32"/>
    </row>
    <row r="220" spans="1:14" ht="15" customHeight="1">
      <c r="A220" s="30"/>
      <c r="B220" s="30"/>
      <c r="C220" s="33" t="str">
        <f>IF(B220="","",IFERROR(INDEX(품목마스터!$B$2:$B$300,MATCH(B220,품목마스터!$A$2:$A$300,0)),"※미등록"))</f>
        <v/>
      </c>
      <c r="D220" s="32"/>
      <c r="E220" s="33" t="str">
        <f>IF(D220="","",IFERROR(INDEX(담당자마스터!$B$2:$B$300,MATCH(D220,담당자마스터!$A$2:$A$300,0)),"※미등록"))</f>
        <v/>
      </c>
      <c r="F220" s="32"/>
      <c r="G220" s="34"/>
      <c r="H220" s="32"/>
      <c r="I220" s="32"/>
      <c r="J220" s="31"/>
      <c r="K220" s="32"/>
      <c r="L220" s="32"/>
      <c r="M220" s="32"/>
      <c r="N220" s="32"/>
    </row>
    <row r="221" spans="1:14" ht="15" customHeight="1">
      <c r="A221" s="30"/>
      <c r="B221" s="30"/>
      <c r="C221" s="33" t="str">
        <f>IF(B221="","",IFERROR(INDEX(품목마스터!$B$2:$B$300,MATCH(B221,품목마스터!$A$2:$A$300,0)),"※미등록"))</f>
        <v/>
      </c>
      <c r="D221" s="32"/>
      <c r="E221" s="33" t="str">
        <f>IF(D221="","",IFERROR(INDEX(담당자마스터!$B$2:$B$300,MATCH(D221,담당자마스터!$A$2:$A$300,0)),"※미등록"))</f>
        <v/>
      </c>
      <c r="F221" s="32"/>
      <c r="G221" s="34"/>
      <c r="H221" s="32"/>
      <c r="I221" s="32"/>
      <c r="J221" s="31"/>
      <c r="K221" s="32"/>
      <c r="L221" s="32"/>
      <c r="M221" s="32"/>
      <c r="N221" s="32"/>
    </row>
    <row r="222" spans="1:14" ht="15" customHeight="1">
      <c r="A222" s="30"/>
      <c r="B222" s="30"/>
      <c r="C222" s="33" t="str">
        <f>IF(B222="","",IFERROR(INDEX(품목마스터!$B$2:$B$300,MATCH(B222,품목마스터!$A$2:$A$300,0)),"※미등록"))</f>
        <v/>
      </c>
      <c r="D222" s="32"/>
      <c r="E222" s="33" t="str">
        <f>IF(D222="","",IFERROR(INDEX(담당자마스터!$B$2:$B$300,MATCH(D222,담당자마스터!$A$2:$A$300,0)),"※미등록"))</f>
        <v/>
      </c>
      <c r="F222" s="32"/>
      <c r="G222" s="34"/>
      <c r="H222" s="32"/>
      <c r="I222" s="32"/>
      <c r="J222" s="31"/>
      <c r="K222" s="32"/>
      <c r="L222" s="32"/>
      <c r="M222" s="32"/>
      <c r="N222" s="32"/>
    </row>
    <row r="223" spans="1:14" ht="15" customHeight="1">
      <c r="A223" s="30"/>
      <c r="B223" s="30"/>
      <c r="C223" s="33" t="str">
        <f>IF(B223="","",IFERROR(INDEX(품목마스터!$B$2:$B$300,MATCH(B223,품목마스터!$A$2:$A$300,0)),"※미등록"))</f>
        <v/>
      </c>
      <c r="D223" s="32"/>
      <c r="E223" s="33" t="str">
        <f>IF(D223="","",IFERROR(INDEX(담당자마스터!$B$2:$B$300,MATCH(D223,담당자마스터!$A$2:$A$300,0)),"※미등록"))</f>
        <v/>
      </c>
      <c r="F223" s="32"/>
      <c r="G223" s="34"/>
      <c r="H223" s="32"/>
      <c r="I223" s="32"/>
      <c r="J223" s="31"/>
      <c r="K223" s="32"/>
      <c r="L223" s="32"/>
      <c r="M223" s="32"/>
      <c r="N223" s="32"/>
    </row>
    <row r="224" spans="1:14" ht="15" customHeight="1">
      <c r="A224" s="30"/>
      <c r="B224" s="30"/>
      <c r="C224" s="33" t="str">
        <f>IF(B224="","",IFERROR(INDEX(품목마스터!$B$2:$B$300,MATCH(B224,품목마스터!$A$2:$A$300,0)),"※미등록"))</f>
        <v/>
      </c>
      <c r="D224" s="32"/>
      <c r="E224" s="33" t="str">
        <f>IF(D224="","",IFERROR(INDEX(담당자마스터!$B$2:$B$300,MATCH(D224,담당자마스터!$A$2:$A$300,0)),"※미등록"))</f>
        <v/>
      </c>
      <c r="F224" s="32"/>
      <c r="G224" s="34"/>
      <c r="H224" s="32"/>
      <c r="I224" s="32"/>
      <c r="J224" s="31"/>
      <c r="K224" s="32"/>
      <c r="L224" s="32"/>
      <c r="M224" s="32"/>
      <c r="N224" s="32"/>
    </row>
    <row r="225" spans="1:14" ht="15" customHeight="1">
      <c r="A225" s="30"/>
      <c r="B225" s="30"/>
      <c r="C225" s="33" t="str">
        <f>IF(B225="","",IFERROR(INDEX(품목마스터!$B$2:$B$300,MATCH(B225,품목마스터!$A$2:$A$300,0)),"※미등록"))</f>
        <v/>
      </c>
      <c r="D225" s="32"/>
      <c r="E225" s="33" t="str">
        <f>IF(D225="","",IFERROR(INDEX(담당자마스터!$B$2:$B$300,MATCH(D225,담당자마스터!$A$2:$A$300,0)),"※미등록"))</f>
        <v/>
      </c>
      <c r="F225" s="32"/>
      <c r="G225" s="34"/>
      <c r="H225" s="32"/>
      <c r="I225" s="32"/>
      <c r="J225" s="31"/>
      <c r="K225" s="32"/>
      <c r="L225" s="32"/>
      <c r="M225" s="32"/>
      <c r="N225" s="32"/>
    </row>
    <row r="226" spans="1:14" ht="15" customHeight="1">
      <c r="A226" s="30"/>
      <c r="B226" s="30"/>
      <c r="C226" s="33" t="str">
        <f>IF(B226="","",IFERROR(INDEX(품목마스터!$B$2:$B$300,MATCH(B226,품목마스터!$A$2:$A$300,0)),"※미등록"))</f>
        <v/>
      </c>
      <c r="D226" s="32"/>
      <c r="E226" s="33" t="str">
        <f>IF(D226="","",IFERROR(INDEX(담당자마스터!$B$2:$B$300,MATCH(D226,담당자마스터!$A$2:$A$300,0)),"※미등록"))</f>
        <v/>
      </c>
      <c r="F226" s="32"/>
      <c r="G226" s="34"/>
      <c r="H226" s="32"/>
      <c r="I226" s="32"/>
      <c r="J226" s="31"/>
      <c r="K226" s="32"/>
      <c r="L226" s="32"/>
      <c r="M226" s="32"/>
      <c r="N226" s="32"/>
    </row>
    <row r="227" spans="1:14" ht="15" customHeight="1">
      <c r="A227" s="30"/>
      <c r="B227" s="30"/>
      <c r="C227" s="33" t="str">
        <f>IF(B227="","",IFERROR(INDEX(품목마스터!$B$2:$B$300,MATCH(B227,품목마스터!$A$2:$A$300,0)),"※미등록"))</f>
        <v/>
      </c>
      <c r="D227" s="32"/>
      <c r="E227" s="33" t="str">
        <f>IF(D227="","",IFERROR(INDEX(담당자마스터!$B$2:$B$300,MATCH(D227,담당자마스터!$A$2:$A$300,0)),"※미등록"))</f>
        <v/>
      </c>
      <c r="F227" s="32"/>
      <c r="G227" s="34"/>
      <c r="H227" s="32"/>
      <c r="I227" s="32"/>
      <c r="J227" s="31"/>
      <c r="K227" s="32"/>
      <c r="L227" s="32"/>
      <c r="M227" s="32"/>
      <c r="N227" s="32"/>
    </row>
    <row r="228" spans="1:14" ht="15" customHeight="1">
      <c r="A228" s="30"/>
      <c r="B228" s="30"/>
      <c r="C228" s="33" t="str">
        <f>IF(B228="","",IFERROR(INDEX(품목마스터!$B$2:$B$300,MATCH(B228,품목마스터!$A$2:$A$300,0)),"※미등록"))</f>
        <v/>
      </c>
      <c r="D228" s="32"/>
      <c r="E228" s="33" t="str">
        <f>IF(D228="","",IFERROR(INDEX(담당자마스터!$B$2:$B$300,MATCH(D228,담당자마스터!$A$2:$A$300,0)),"※미등록"))</f>
        <v/>
      </c>
      <c r="F228" s="32"/>
      <c r="G228" s="34"/>
      <c r="H228" s="32"/>
      <c r="I228" s="32"/>
      <c r="J228" s="31"/>
      <c r="K228" s="32"/>
      <c r="L228" s="32"/>
      <c r="M228" s="32"/>
      <c r="N228" s="32"/>
    </row>
    <row r="229" spans="1:14" ht="15" customHeight="1">
      <c r="A229" s="30"/>
      <c r="B229" s="30"/>
      <c r="C229" s="33" t="str">
        <f>IF(B229="","",IFERROR(INDEX(품목마스터!$B$2:$B$300,MATCH(B229,품목마스터!$A$2:$A$300,0)),"※미등록"))</f>
        <v/>
      </c>
      <c r="D229" s="32"/>
      <c r="E229" s="33" t="str">
        <f>IF(D229="","",IFERROR(INDEX(담당자마스터!$B$2:$B$300,MATCH(D229,담당자마스터!$A$2:$A$300,0)),"※미등록"))</f>
        <v/>
      </c>
      <c r="F229" s="32"/>
      <c r="G229" s="34"/>
      <c r="H229" s="32"/>
      <c r="I229" s="32"/>
      <c r="J229" s="31"/>
      <c r="K229" s="32"/>
      <c r="L229" s="32"/>
      <c r="M229" s="32"/>
      <c r="N229" s="32"/>
    </row>
    <row r="230" spans="1:14" ht="15" customHeight="1">
      <c r="A230" s="30"/>
      <c r="B230" s="30"/>
      <c r="C230" s="33" t="str">
        <f>IF(B230="","",IFERROR(INDEX(품목마스터!$B$2:$B$300,MATCH(B230,품목마스터!$A$2:$A$300,0)),"※미등록"))</f>
        <v/>
      </c>
      <c r="D230" s="32"/>
      <c r="E230" s="33" t="str">
        <f>IF(D230="","",IFERROR(INDEX(담당자마스터!$B$2:$B$300,MATCH(D230,담당자마스터!$A$2:$A$300,0)),"※미등록"))</f>
        <v/>
      </c>
      <c r="F230" s="32"/>
      <c r="G230" s="34"/>
      <c r="H230" s="32"/>
      <c r="I230" s="32"/>
      <c r="J230" s="31"/>
      <c r="K230" s="32"/>
      <c r="L230" s="32"/>
      <c r="M230" s="32"/>
      <c r="N230" s="32"/>
    </row>
    <row r="231" spans="1:14" ht="15" customHeight="1">
      <c r="A231" s="30"/>
      <c r="B231" s="30"/>
      <c r="C231" s="33" t="str">
        <f>IF(B231="","",IFERROR(INDEX(품목마스터!$B$2:$B$300,MATCH(B231,품목마스터!$A$2:$A$300,0)),"※미등록"))</f>
        <v/>
      </c>
      <c r="D231" s="32"/>
      <c r="E231" s="33" t="str">
        <f>IF(D231="","",IFERROR(INDEX(담당자마스터!$B$2:$B$300,MATCH(D231,담당자마스터!$A$2:$A$300,0)),"※미등록"))</f>
        <v/>
      </c>
      <c r="F231" s="32"/>
      <c r="G231" s="34"/>
      <c r="H231" s="32"/>
      <c r="I231" s="32"/>
      <c r="J231" s="31"/>
      <c r="K231" s="32"/>
      <c r="L231" s="32"/>
      <c r="M231" s="32"/>
      <c r="N231" s="32"/>
    </row>
    <row r="232" spans="1:14" ht="15" customHeight="1">
      <c r="A232" s="30"/>
      <c r="B232" s="30"/>
      <c r="C232" s="33" t="str">
        <f>IF(B232="","",IFERROR(INDEX(품목마스터!$B$2:$B$300,MATCH(B232,품목마스터!$A$2:$A$300,0)),"※미등록"))</f>
        <v/>
      </c>
      <c r="D232" s="32"/>
      <c r="E232" s="33" t="str">
        <f>IF(D232="","",IFERROR(INDEX(담당자마스터!$B$2:$B$300,MATCH(D232,담당자마스터!$A$2:$A$300,0)),"※미등록"))</f>
        <v/>
      </c>
      <c r="F232" s="32"/>
      <c r="G232" s="34"/>
      <c r="H232" s="32"/>
      <c r="I232" s="32"/>
      <c r="J232" s="31"/>
      <c r="K232" s="32"/>
      <c r="L232" s="32"/>
      <c r="M232" s="32"/>
      <c r="N232" s="32"/>
    </row>
    <row r="233" spans="1:14" ht="15" customHeight="1">
      <c r="A233" s="30"/>
      <c r="B233" s="30"/>
      <c r="C233" s="33" t="str">
        <f>IF(B233="","",IFERROR(INDEX(품목마스터!$B$2:$B$300,MATCH(B233,품목마스터!$A$2:$A$300,0)),"※미등록"))</f>
        <v/>
      </c>
      <c r="D233" s="32"/>
      <c r="E233" s="33" t="str">
        <f>IF(D233="","",IFERROR(INDEX(담당자마스터!$B$2:$B$300,MATCH(D233,담당자마스터!$A$2:$A$300,0)),"※미등록"))</f>
        <v/>
      </c>
      <c r="F233" s="32"/>
      <c r="G233" s="34"/>
      <c r="H233" s="32"/>
      <c r="I233" s="32"/>
      <c r="J233" s="31"/>
      <c r="K233" s="32"/>
      <c r="L233" s="32"/>
      <c r="M233" s="32"/>
      <c r="N233" s="32"/>
    </row>
    <row r="234" spans="1:14" ht="15" customHeight="1">
      <c r="A234" s="30"/>
      <c r="B234" s="30"/>
      <c r="C234" s="33" t="str">
        <f>IF(B234="","",IFERROR(INDEX(품목마스터!$B$2:$B$300,MATCH(B234,품목마스터!$A$2:$A$300,0)),"※미등록"))</f>
        <v/>
      </c>
      <c r="D234" s="32"/>
      <c r="E234" s="33" t="str">
        <f>IF(D234="","",IFERROR(INDEX(담당자마스터!$B$2:$B$300,MATCH(D234,담당자마스터!$A$2:$A$300,0)),"※미등록"))</f>
        <v/>
      </c>
      <c r="F234" s="32"/>
      <c r="G234" s="34"/>
      <c r="H234" s="32"/>
      <c r="I234" s="32"/>
      <c r="J234" s="31"/>
      <c r="K234" s="32"/>
      <c r="L234" s="32"/>
      <c r="M234" s="32"/>
      <c r="N234" s="32"/>
    </row>
    <row r="235" spans="1:14" ht="15" customHeight="1">
      <c r="A235" s="30"/>
      <c r="B235" s="30"/>
      <c r="C235" s="33" t="str">
        <f>IF(B235="","",IFERROR(INDEX(품목마스터!$B$2:$B$300,MATCH(B235,품목마스터!$A$2:$A$300,0)),"※미등록"))</f>
        <v/>
      </c>
      <c r="D235" s="32"/>
      <c r="E235" s="33" t="str">
        <f>IF(D235="","",IFERROR(INDEX(담당자마스터!$B$2:$B$300,MATCH(D235,담당자마스터!$A$2:$A$300,0)),"※미등록"))</f>
        <v/>
      </c>
      <c r="F235" s="32"/>
      <c r="G235" s="34"/>
      <c r="H235" s="32"/>
      <c r="I235" s="32"/>
      <c r="J235" s="31"/>
      <c r="K235" s="32"/>
      <c r="L235" s="32"/>
      <c r="M235" s="32"/>
      <c r="N235" s="32"/>
    </row>
    <row r="236" spans="1:14" ht="15" customHeight="1">
      <c r="A236" s="30"/>
      <c r="B236" s="30"/>
      <c r="C236" s="33" t="str">
        <f>IF(B236="","",IFERROR(INDEX(품목마스터!$B$2:$B$300,MATCH(B236,품목마스터!$A$2:$A$300,0)),"※미등록"))</f>
        <v/>
      </c>
      <c r="D236" s="32"/>
      <c r="E236" s="33" t="str">
        <f>IF(D236="","",IFERROR(INDEX(담당자마스터!$B$2:$B$300,MATCH(D236,담당자마스터!$A$2:$A$300,0)),"※미등록"))</f>
        <v/>
      </c>
      <c r="F236" s="32"/>
      <c r="G236" s="34"/>
      <c r="H236" s="32"/>
      <c r="I236" s="32"/>
      <c r="J236" s="31"/>
      <c r="K236" s="32"/>
      <c r="L236" s="32"/>
      <c r="M236" s="32"/>
      <c r="N236" s="32"/>
    </row>
    <row r="237" spans="1:14" ht="15" customHeight="1">
      <c r="A237" s="30"/>
      <c r="B237" s="30"/>
      <c r="C237" s="33" t="str">
        <f>IF(B237="","",IFERROR(INDEX(품목마스터!$B$2:$B$300,MATCH(B237,품목마스터!$A$2:$A$300,0)),"※미등록"))</f>
        <v/>
      </c>
      <c r="D237" s="32"/>
      <c r="E237" s="33" t="str">
        <f>IF(D237="","",IFERROR(INDEX(담당자마스터!$B$2:$B$300,MATCH(D237,담당자마스터!$A$2:$A$300,0)),"※미등록"))</f>
        <v/>
      </c>
      <c r="F237" s="32"/>
      <c r="G237" s="34"/>
      <c r="H237" s="32"/>
      <c r="I237" s="32"/>
      <c r="J237" s="31"/>
      <c r="K237" s="32"/>
      <c r="L237" s="32"/>
      <c r="M237" s="32"/>
      <c r="N237" s="32"/>
    </row>
    <row r="238" spans="1:14" ht="15" customHeight="1">
      <c r="A238" s="30"/>
      <c r="B238" s="30"/>
      <c r="C238" s="33" t="str">
        <f>IF(B238="","",IFERROR(INDEX(품목마스터!$B$2:$B$300,MATCH(B238,품목마스터!$A$2:$A$300,0)),"※미등록"))</f>
        <v/>
      </c>
      <c r="D238" s="32"/>
      <c r="E238" s="33" t="str">
        <f>IF(D238="","",IFERROR(INDEX(담당자마스터!$B$2:$B$300,MATCH(D238,담당자마스터!$A$2:$A$300,0)),"※미등록"))</f>
        <v/>
      </c>
      <c r="F238" s="32"/>
      <c r="G238" s="34"/>
      <c r="H238" s="32"/>
      <c r="I238" s="32"/>
      <c r="J238" s="31"/>
      <c r="K238" s="32"/>
      <c r="L238" s="32"/>
      <c r="M238" s="32"/>
      <c r="N238" s="32"/>
    </row>
    <row r="239" spans="1:14" ht="15" customHeight="1">
      <c r="A239" s="30"/>
      <c r="B239" s="30"/>
      <c r="C239" s="33" t="str">
        <f>IF(B239="","",IFERROR(INDEX(품목마스터!$B$2:$B$300,MATCH(B239,품목마스터!$A$2:$A$300,0)),"※미등록"))</f>
        <v/>
      </c>
      <c r="D239" s="32"/>
      <c r="E239" s="33" t="str">
        <f>IF(D239="","",IFERROR(INDEX(담당자마스터!$B$2:$B$300,MATCH(D239,담당자마스터!$A$2:$A$300,0)),"※미등록"))</f>
        <v/>
      </c>
      <c r="F239" s="32"/>
      <c r="G239" s="34"/>
      <c r="H239" s="32"/>
      <c r="I239" s="32"/>
      <c r="J239" s="31"/>
      <c r="K239" s="32"/>
      <c r="L239" s="32"/>
      <c r="M239" s="32"/>
      <c r="N239" s="32"/>
    </row>
    <row r="240" spans="1:14" ht="15" customHeight="1">
      <c r="A240" s="30"/>
      <c r="B240" s="30"/>
      <c r="C240" s="33" t="str">
        <f>IF(B240="","",IFERROR(INDEX(품목마스터!$B$2:$B$300,MATCH(B240,품목마스터!$A$2:$A$300,0)),"※미등록"))</f>
        <v/>
      </c>
      <c r="D240" s="32"/>
      <c r="E240" s="33" t="str">
        <f>IF(D240="","",IFERROR(INDEX(담당자마스터!$B$2:$B$300,MATCH(D240,담당자마스터!$A$2:$A$300,0)),"※미등록"))</f>
        <v/>
      </c>
      <c r="F240" s="32"/>
      <c r="G240" s="34"/>
      <c r="H240" s="32"/>
      <c r="I240" s="32"/>
      <c r="J240" s="31"/>
      <c r="K240" s="32"/>
      <c r="L240" s="32"/>
      <c r="M240" s="32"/>
      <c r="N240" s="32"/>
    </row>
    <row r="241" spans="1:14" ht="15" customHeight="1">
      <c r="A241" s="30"/>
      <c r="B241" s="30"/>
      <c r="C241" s="33" t="str">
        <f>IF(B241="","",IFERROR(INDEX(품목마스터!$B$2:$B$300,MATCH(B241,품목마스터!$A$2:$A$300,0)),"※미등록"))</f>
        <v/>
      </c>
      <c r="D241" s="32"/>
      <c r="E241" s="33" t="str">
        <f>IF(D241="","",IFERROR(INDEX(담당자마스터!$B$2:$B$300,MATCH(D241,담당자마스터!$A$2:$A$300,0)),"※미등록"))</f>
        <v/>
      </c>
      <c r="F241" s="32"/>
      <c r="G241" s="34"/>
      <c r="H241" s="32"/>
      <c r="I241" s="32"/>
      <c r="J241" s="31"/>
      <c r="K241" s="32"/>
      <c r="L241" s="32"/>
      <c r="M241" s="32"/>
      <c r="N241" s="32"/>
    </row>
    <row r="242" spans="1:14" ht="15" customHeight="1">
      <c r="A242" s="30"/>
      <c r="B242" s="30"/>
      <c r="C242" s="33" t="str">
        <f>IF(B242="","",IFERROR(INDEX(품목마스터!$B$2:$B$300,MATCH(B242,품목마스터!$A$2:$A$300,0)),"※미등록"))</f>
        <v/>
      </c>
      <c r="D242" s="32"/>
      <c r="E242" s="33" t="str">
        <f>IF(D242="","",IFERROR(INDEX(담당자마스터!$B$2:$B$300,MATCH(D242,담당자마스터!$A$2:$A$300,0)),"※미등록"))</f>
        <v/>
      </c>
      <c r="F242" s="32"/>
      <c r="G242" s="34"/>
      <c r="H242" s="32"/>
      <c r="I242" s="32"/>
      <c r="J242" s="31"/>
      <c r="K242" s="32"/>
      <c r="L242" s="32"/>
      <c r="M242" s="32"/>
      <c r="N242" s="32"/>
    </row>
    <row r="243" spans="1:14" ht="15" customHeight="1">
      <c r="A243" s="30"/>
      <c r="B243" s="30"/>
      <c r="C243" s="33" t="str">
        <f>IF(B243="","",IFERROR(INDEX(품목마스터!$B$2:$B$300,MATCH(B243,품목마스터!$A$2:$A$300,0)),"※미등록"))</f>
        <v/>
      </c>
      <c r="D243" s="32"/>
      <c r="E243" s="33" t="str">
        <f>IF(D243="","",IFERROR(INDEX(담당자마스터!$B$2:$B$300,MATCH(D243,담당자마스터!$A$2:$A$300,0)),"※미등록"))</f>
        <v/>
      </c>
      <c r="F243" s="32"/>
      <c r="G243" s="34"/>
      <c r="H243" s="32"/>
      <c r="I243" s="32"/>
      <c r="J243" s="31"/>
      <c r="K243" s="32"/>
      <c r="L243" s="32"/>
      <c r="M243" s="32"/>
      <c r="N243" s="32"/>
    </row>
    <row r="244" spans="1:14" ht="15" customHeight="1">
      <c r="A244" s="30"/>
      <c r="B244" s="30"/>
      <c r="C244" s="33" t="str">
        <f>IF(B244="","",IFERROR(INDEX(품목마스터!$B$2:$B$300,MATCH(B244,품목마스터!$A$2:$A$300,0)),"※미등록"))</f>
        <v/>
      </c>
      <c r="D244" s="32"/>
      <c r="E244" s="33" t="str">
        <f>IF(D244="","",IFERROR(INDEX(담당자마스터!$B$2:$B$300,MATCH(D244,담당자마스터!$A$2:$A$300,0)),"※미등록"))</f>
        <v/>
      </c>
      <c r="F244" s="32"/>
      <c r="G244" s="34"/>
      <c r="H244" s="32"/>
      <c r="I244" s="32"/>
      <c r="J244" s="31"/>
      <c r="K244" s="32"/>
      <c r="L244" s="32"/>
      <c r="M244" s="32"/>
      <c r="N244" s="32"/>
    </row>
    <row r="245" spans="1:14" ht="15" customHeight="1">
      <c r="A245" s="30"/>
      <c r="B245" s="30"/>
      <c r="C245" s="33" t="str">
        <f>IF(B245="","",IFERROR(INDEX(품목마스터!$B$2:$B$300,MATCH(B245,품목마스터!$A$2:$A$300,0)),"※미등록"))</f>
        <v/>
      </c>
      <c r="D245" s="32"/>
      <c r="E245" s="33" t="str">
        <f>IF(D245="","",IFERROR(INDEX(담당자마스터!$B$2:$B$300,MATCH(D245,담당자마스터!$A$2:$A$300,0)),"※미등록"))</f>
        <v/>
      </c>
      <c r="F245" s="32"/>
      <c r="G245" s="34"/>
      <c r="H245" s="32"/>
      <c r="I245" s="32"/>
      <c r="J245" s="31"/>
      <c r="K245" s="32"/>
      <c r="L245" s="32"/>
      <c r="M245" s="32"/>
      <c r="N245" s="32"/>
    </row>
    <row r="246" spans="1:14" ht="15" customHeight="1">
      <c r="A246" s="30"/>
      <c r="B246" s="30"/>
      <c r="C246" s="33" t="str">
        <f>IF(B246="","",IFERROR(INDEX(품목마스터!$B$2:$B$300,MATCH(B246,품목마스터!$A$2:$A$300,0)),"※미등록"))</f>
        <v/>
      </c>
      <c r="D246" s="32"/>
      <c r="E246" s="33" t="str">
        <f>IF(D246="","",IFERROR(INDEX(담당자마스터!$B$2:$B$300,MATCH(D246,담당자마스터!$A$2:$A$300,0)),"※미등록"))</f>
        <v/>
      </c>
      <c r="F246" s="32"/>
      <c r="G246" s="34"/>
      <c r="H246" s="32"/>
      <c r="I246" s="32"/>
      <c r="J246" s="31"/>
      <c r="K246" s="32"/>
      <c r="L246" s="32"/>
      <c r="M246" s="32"/>
      <c r="N246" s="32"/>
    </row>
    <row r="247" spans="1:14" ht="15" customHeight="1">
      <c r="A247" s="30"/>
      <c r="B247" s="30"/>
      <c r="C247" s="33" t="str">
        <f>IF(B247="","",IFERROR(INDEX(품목마스터!$B$2:$B$300,MATCH(B247,품목마스터!$A$2:$A$300,0)),"※미등록"))</f>
        <v/>
      </c>
      <c r="D247" s="32"/>
      <c r="E247" s="33" t="str">
        <f>IF(D247="","",IFERROR(INDEX(담당자마스터!$B$2:$B$300,MATCH(D247,담당자마스터!$A$2:$A$300,0)),"※미등록"))</f>
        <v/>
      </c>
      <c r="F247" s="32"/>
      <c r="G247" s="34"/>
      <c r="H247" s="32"/>
      <c r="I247" s="32"/>
      <c r="J247" s="31"/>
      <c r="K247" s="32"/>
      <c r="L247" s="32"/>
      <c r="M247" s="32"/>
      <c r="N247" s="32"/>
    </row>
    <row r="248" spans="1:14" ht="15" customHeight="1">
      <c r="A248" s="30"/>
      <c r="B248" s="30"/>
      <c r="C248" s="33" t="str">
        <f>IF(B248="","",IFERROR(INDEX(품목마스터!$B$2:$B$300,MATCH(B248,품목마스터!$A$2:$A$300,0)),"※미등록"))</f>
        <v/>
      </c>
      <c r="D248" s="32"/>
      <c r="E248" s="33" t="str">
        <f>IF(D248="","",IFERROR(INDEX(담당자마스터!$B$2:$B$300,MATCH(D248,담당자마스터!$A$2:$A$300,0)),"※미등록"))</f>
        <v/>
      </c>
      <c r="F248" s="32"/>
      <c r="G248" s="34"/>
      <c r="H248" s="32"/>
      <c r="I248" s="32"/>
      <c r="J248" s="31"/>
      <c r="K248" s="32"/>
      <c r="L248" s="32"/>
      <c r="M248" s="32"/>
      <c r="N248" s="32"/>
    </row>
    <row r="249" spans="1:14" ht="15" customHeight="1">
      <c r="A249" s="30"/>
      <c r="B249" s="30"/>
      <c r="C249" s="33" t="str">
        <f>IF(B249="","",IFERROR(INDEX(품목마스터!$B$2:$B$300,MATCH(B249,품목마스터!$A$2:$A$300,0)),"※미등록"))</f>
        <v/>
      </c>
      <c r="D249" s="32"/>
      <c r="E249" s="33" t="str">
        <f>IF(D249="","",IFERROR(INDEX(담당자마스터!$B$2:$B$300,MATCH(D249,담당자마스터!$A$2:$A$300,0)),"※미등록"))</f>
        <v/>
      </c>
      <c r="F249" s="32"/>
      <c r="G249" s="34"/>
      <c r="H249" s="32"/>
      <c r="I249" s="32"/>
      <c r="J249" s="31"/>
      <c r="K249" s="32"/>
      <c r="L249" s="32"/>
      <c r="M249" s="32"/>
      <c r="N249" s="32"/>
    </row>
    <row r="250" spans="1:14" ht="15" customHeight="1">
      <c r="A250" s="30"/>
      <c r="B250" s="30"/>
      <c r="C250" s="33" t="str">
        <f>IF(B250="","",IFERROR(INDEX(품목마스터!$B$2:$B$300,MATCH(B250,품목마스터!$A$2:$A$300,0)),"※미등록"))</f>
        <v/>
      </c>
      <c r="D250" s="32"/>
      <c r="E250" s="33" t="str">
        <f>IF(D250="","",IFERROR(INDEX(담당자마스터!$B$2:$B$300,MATCH(D250,담당자마스터!$A$2:$A$300,0)),"※미등록"))</f>
        <v/>
      </c>
      <c r="F250" s="32"/>
      <c r="G250" s="34"/>
      <c r="H250" s="32"/>
      <c r="I250" s="32"/>
      <c r="J250" s="31"/>
      <c r="K250" s="32"/>
      <c r="L250" s="32"/>
      <c r="M250" s="32"/>
      <c r="N250" s="32"/>
    </row>
    <row r="251" spans="1:14" ht="15" customHeight="1">
      <c r="A251" s="30"/>
      <c r="B251" s="30"/>
      <c r="C251" s="33" t="str">
        <f>IF(B251="","",IFERROR(INDEX(품목마스터!$B$2:$B$300,MATCH(B251,품목마스터!$A$2:$A$300,0)),"※미등록"))</f>
        <v/>
      </c>
      <c r="D251" s="32"/>
      <c r="E251" s="33" t="str">
        <f>IF(D251="","",IFERROR(INDEX(담당자마스터!$B$2:$B$300,MATCH(D251,담당자마스터!$A$2:$A$300,0)),"※미등록"))</f>
        <v/>
      </c>
      <c r="F251" s="32"/>
      <c r="G251" s="34"/>
      <c r="H251" s="32"/>
      <c r="I251" s="32"/>
      <c r="J251" s="31"/>
      <c r="K251" s="32"/>
      <c r="L251" s="32"/>
      <c r="M251" s="32"/>
      <c r="N251" s="32"/>
    </row>
    <row r="252" spans="1:14" ht="15" customHeight="1">
      <c r="A252" s="30"/>
      <c r="B252" s="30"/>
      <c r="C252" s="33" t="str">
        <f>IF(B252="","",IFERROR(INDEX(품목마스터!$B$2:$B$300,MATCH(B252,품목마스터!$A$2:$A$300,0)),"※미등록"))</f>
        <v/>
      </c>
      <c r="D252" s="32"/>
      <c r="E252" s="33" t="str">
        <f>IF(D252="","",IFERROR(INDEX(담당자마스터!$B$2:$B$300,MATCH(D252,담당자마스터!$A$2:$A$300,0)),"※미등록"))</f>
        <v/>
      </c>
      <c r="F252" s="32"/>
      <c r="G252" s="34"/>
      <c r="H252" s="32"/>
      <c r="I252" s="32"/>
      <c r="J252" s="31"/>
      <c r="K252" s="32"/>
      <c r="L252" s="32"/>
      <c r="M252" s="32"/>
      <c r="N252" s="32"/>
    </row>
    <row r="253" spans="1:14" ht="15" customHeight="1">
      <c r="A253" s="30"/>
      <c r="B253" s="30"/>
      <c r="C253" s="33" t="str">
        <f>IF(B253="","",IFERROR(INDEX(품목마스터!$B$2:$B$300,MATCH(B253,품목마스터!$A$2:$A$300,0)),"※미등록"))</f>
        <v/>
      </c>
      <c r="D253" s="32"/>
      <c r="E253" s="33" t="str">
        <f>IF(D253="","",IFERROR(INDEX(담당자마스터!$B$2:$B$300,MATCH(D253,담당자마스터!$A$2:$A$300,0)),"※미등록"))</f>
        <v/>
      </c>
      <c r="F253" s="32"/>
      <c r="G253" s="34"/>
      <c r="H253" s="32"/>
      <c r="I253" s="32"/>
      <c r="J253" s="31"/>
      <c r="K253" s="32"/>
      <c r="L253" s="32"/>
      <c r="M253" s="32"/>
      <c r="N253" s="32"/>
    </row>
    <row r="254" spans="1:14" ht="15" customHeight="1">
      <c r="A254" s="30"/>
      <c r="B254" s="30"/>
      <c r="C254" s="33" t="str">
        <f>IF(B254="","",IFERROR(INDEX(품목마스터!$B$2:$B$300,MATCH(B254,품목마스터!$A$2:$A$300,0)),"※미등록"))</f>
        <v/>
      </c>
      <c r="D254" s="32"/>
      <c r="E254" s="33" t="str">
        <f>IF(D254="","",IFERROR(INDEX(담당자마스터!$B$2:$B$300,MATCH(D254,담당자마스터!$A$2:$A$300,0)),"※미등록"))</f>
        <v/>
      </c>
      <c r="F254" s="32"/>
      <c r="G254" s="34"/>
      <c r="H254" s="32"/>
      <c r="I254" s="32"/>
      <c r="J254" s="31"/>
      <c r="K254" s="32"/>
      <c r="L254" s="32"/>
      <c r="M254" s="32"/>
      <c r="N254" s="32"/>
    </row>
    <row r="255" spans="1:14" ht="15" customHeight="1">
      <c r="A255" s="30"/>
      <c r="B255" s="30"/>
      <c r="C255" s="33" t="str">
        <f>IF(B255="","",IFERROR(INDEX(품목마스터!$B$2:$B$300,MATCH(B255,품목마스터!$A$2:$A$300,0)),"※미등록"))</f>
        <v/>
      </c>
      <c r="D255" s="32"/>
      <c r="E255" s="33" t="str">
        <f>IF(D255="","",IFERROR(INDEX(담당자마스터!$B$2:$B$300,MATCH(D255,담당자마스터!$A$2:$A$300,0)),"※미등록"))</f>
        <v/>
      </c>
      <c r="F255" s="32"/>
      <c r="G255" s="34"/>
      <c r="H255" s="32"/>
      <c r="I255" s="32"/>
      <c r="J255" s="31"/>
      <c r="K255" s="32"/>
      <c r="L255" s="32"/>
      <c r="M255" s="32"/>
      <c r="N255" s="32"/>
    </row>
    <row r="256" spans="1:14" ht="15" customHeight="1">
      <c r="A256" s="30"/>
      <c r="B256" s="30"/>
      <c r="C256" s="33" t="str">
        <f>IF(B256="","",IFERROR(INDEX(품목마스터!$B$2:$B$300,MATCH(B256,품목마스터!$A$2:$A$300,0)),"※미등록"))</f>
        <v/>
      </c>
      <c r="D256" s="32"/>
      <c r="E256" s="33" t="str">
        <f>IF(D256="","",IFERROR(INDEX(담당자마스터!$B$2:$B$300,MATCH(D256,담당자마스터!$A$2:$A$300,0)),"※미등록"))</f>
        <v/>
      </c>
      <c r="F256" s="32"/>
      <c r="G256" s="34"/>
      <c r="H256" s="32"/>
      <c r="I256" s="32"/>
      <c r="J256" s="31"/>
      <c r="K256" s="32"/>
      <c r="L256" s="32"/>
      <c r="M256" s="32"/>
      <c r="N256" s="32"/>
    </row>
    <row r="257" spans="1:14" ht="15" customHeight="1">
      <c r="A257" s="30"/>
      <c r="B257" s="30"/>
      <c r="C257" s="33" t="str">
        <f>IF(B257="","",IFERROR(INDEX(품목마스터!$B$2:$B$300,MATCH(B257,품목마스터!$A$2:$A$300,0)),"※미등록"))</f>
        <v/>
      </c>
      <c r="D257" s="32"/>
      <c r="E257" s="33" t="str">
        <f>IF(D257="","",IFERROR(INDEX(담당자마스터!$B$2:$B$300,MATCH(D257,담당자마스터!$A$2:$A$300,0)),"※미등록"))</f>
        <v/>
      </c>
      <c r="F257" s="32"/>
      <c r="G257" s="34"/>
      <c r="H257" s="32"/>
      <c r="I257" s="32"/>
      <c r="J257" s="31"/>
      <c r="K257" s="32"/>
      <c r="L257" s="32"/>
      <c r="M257" s="32"/>
      <c r="N257" s="32"/>
    </row>
    <row r="258" spans="1:14" ht="15" customHeight="1">
      <c r="A258" s="30"/>
      <c r="B258" s="30"/>
      <c r="C258" s="33" t="str">
        <f>IF(B258="","",IFERROR(INDEX(품목마스터!$B$2:$B$300,MATCH(B258,품목마스터!$A$2:$A$300,0)),"※미등록"))</f>
        <v/>
      </c>
      <c r="D258" s="32"/>
      <c r="E258" s="33" t="str">
        <f>IF(D258="","",IFERROR(INDEX(담당자마스터!$B$2:$B$300,MATCH(D258,담당자마스터!$A$2:$A$300,0)),"※미등록"))</f>
        <v/>
      </c>
      <c r="F258" s="32"/>
      <c r="G258" s="34"/>
      <c r="H258" s="32"/>
      <c r="I258" s="32"/>
      <c r="J258" s="31"/>
      <c r="K258" s="32"/>
      <c r="L258" s="32"/>
      <c r="M258" s="32"/>
      <c r="N258" s="32"/>
    </row>
    <row r="259" spans="1:14" ht="15" customHeight="1">
      <c r="A259" s="30"/>
      <c r="B259" s="30"/>
      <c r="C259" s="33" t="str">
        <f>IF(B259="","",IFERROR(INDEX(품목마스터!$B$2:$B$300,MATCH(B259,품목마스터!$A$2:$A$300,0)),"※미등록"))</f>
        <v/>
      </c>
      <c r="D259" s="32"/>
      <c r="E259" s="33" t="str">
        <f>IF(D259="","",IFERROR(INDEX(담당자마스터!$B$2:$B$300,MATCH(D259,담당자마스터!$A$2:$A$300,0)),"※미등록"))</f>
        <v/>
      </c>
      <c r="F259" s="32"/>
      <c r="G259" s="34"/>
      <c r="H259" s="32"/>
      <c r="I259" s="32"/>
      <c r="J259" s="31"/>
      <c r="K259" s="32"/>
      <c r="L259" s="32"/>
      <c r="M259" s="32"/>
      <c r="N259" s="32"/>
    </row>
    <row r="260" spans="1:14" ht="15" customHeight="1">
      <c r="A260" s="30"/>
      <c r="B260" s="30"/>
      <c r="C260" s="33" t="str">
        <f>IF(B260="","",IFERROR(INDEX(품목마스터!$B$2:$B$300,MATCH(B260,품목마스터!$A$2:$A$300,0)),"※미등록"))</f>
        <v/>
      </c>
      <c r="D260" s="32"/>
      <c r="E260" s="33" t="str">
        <f>IF(D260="","",IFERROR(INDEX(담당자마스터!$B$2:$B$300,MATCH(D260,담당자마스터!$A$2:$A$300,0)),"※미등록"))</f>
        <v/>
      </c>
      <c r="F260" s="32"/>
      <c r="G260" s="34"/>
      <c r="H260" s="32"/>
      <c r="I260" s="32"/>
      <c r="J260" s="31"/>
      <c r="K260" s="32"/>
      <c r="L260" s="32"/>
      <c r="M260" s="32"/>
      <c r="N260" s="32"/>
    </row>
    <row r="261" spans="1:14" ht="15" customHeight="1">
      <c r="A261" s="30"/>
      <c r="B261" s="30"/>
      <c r="C261" s="33" t="str">
        <f>IF(B261="","",IFERROR(INDEX(품목마스터!$B$2:$B$300,MATCH(B261,품목마스터!$A$2:$A$300,0)),"※미등록"))</f>
        <v/>
      </c>
      <c r="D261" s="32"/>
      <c r="E261" s="33" t="str">
        <f>IF(D261="","",IFERROR(INDEX(담당자마스터!$B$2:$B$300,MATCH(D261,담당자마스터!$A$2:$A$300,0)),"※미등록"))</f>
        <v/>
      </c>
      <c r="F261" s="32"/>
      <c r="G261" s="34"/>
      <c r="H261" s="32"/>
      <c r="I261" s="32"/>
      <c r="J261" s="31"/>
      <c r="K261" s="32"/>
      <c r="L261" s="32"/>
      <c r="M261" s="32"/>
      <c r="N261" s="32"/>
    </row>
    <row r="262" spans="1:14" ht="15" customHeight="1">
      <c r="A262" s="30"/>
      <c r="B262" s="30"/>
      <c r="C262" s="33" t="str">
        <f>IF(B262="","",IFERROR(INDEX(품목마스터!$B$2:$B$300,MATCH(B262,품목마스터!$A$2:$A$300,0)),"※미등록"))</f>
        <v/>
      </c>
      <c r="D262" s="32"/>
      <c r="E262" s="33" t="str">
        <f>IF(D262="","",IFERROR(INDEX(담당자마스터!$B$2:$B$300,MATCH(D262,담당자마스터!$A$2:$A$300,0)),"※미등록"))</f>
        <v/>
      </c>
      <c r="F262" s="32"/>
      <c r="G262" s="34"/>
      <c r="H262" s="32"/>
      <c r="I262" s="32"/>
      <c r="J262" s="31"/>
      <c r="K262" s="32"/>
      <c r="L262" s="32"/>
      <c r="M262" s="32"/>
      <c r="N262" s="32"/>
    </row>
    <row r="263" spans="1:14" ht="15" customHeight="1">
      <c r="A263" s="30"/>
      <c r="B263" s="30"/>
      <c r="C263" s="33" t="str">
        <f>IF(B263="","",IFERROR(INDEX(품목마스터!$B$2:$B$300,MATCH(B263,품목마스터!$A$2:$A$300,0)),"※미등록"))</f>
        <v/>
      </c>
      <c r="D263" s="32"/>
      <c r="E263" s="33" t="str">
        <f>IF(D263="","",IFERROR(INDEX(담당자마스터!$B$2:$B$300,MATCH(D263,담당자마스터!$A$2:$A$300,0)),"※미등록"))</f>
        <v/>
      </c>
      <c r="F263" s="32"/>
      <c r="G263" s="34"/>
      <c r="H263" s="32"/>
      <c r="I263" s="32"/>
      <c r="J263" s="31"/>
      <c r="K263" s="32"/>
      <c r="L263" s="32"/>
      <c r="M263" s="32"/>
      <c r="N263" s="32"/>
    </row>
    <row r="264" spans="1:14" ht="15" customHeight="1">
      <c r="A264" s="30"/>
      <c r="B264" s="30"/>
      <c r="C264" s="33" t="str">
        <f>IF(B264="","",IFERROR(INDEX(품목마스터!$B$2:$B$300,MATCH(B264,품목마스터!$A$2:$A$300,0)),"※미등록"))</f>
        <v/>
      </c>
      <c r="D264" s="32"/>
      <c r="E264" s="33" t="str">
        <f>IF(D264="","",IFERROR(INDEX(담당자마스터!$B$2:$B$300,MATCH(D264,담당자마스터!$A$2:$A$300,0)),"※미등록"))</f>
        <v/>
      </c>
      <c r="F264" s="32"/>
      <c r="G264" s="34"/>
      <c r="H264" s="32"/>
      <c r="I264" s="32"/>
      <c r="J264" s="31"/>
      <c r="K264" s="32"/>
      <c r="L264" s="32"/>
      <c r="M264" s="32"/>
      <c r="N264" s="32"/>
    </row>
    <row r="265" spans="1:14" ht="15" customHeight="1">
      <c r="A265" s="30"/>
      <c r="B265" s="30"/>
      <c r="C265" s="33" t="str">
        <f>IF(B265="","",IFERROR(INDEX(품목마스터!$B$2:$B$300,MATCH(B265,품목마스터!$A$2:$A$300,0)),"※미등록"))</f>
        <v/>
      </c>
      <c r="D265" s="32"/>
      <c r="E265" s="33" t="str">
        <f>IF(D265="","",IFERROR(INDEX(담당자마스터!$B$2:$B$300,MATCH(D265,담당자마스터!$A$2:$A$300,0)),"※미등록"))</f>
        <v/>
      </c>
      <c r="F265" s="32"/>
      <c r="G265" s="34"/>
      <c r="H265" s="32"/>
      <c r="I265" s="32"/>
      <c r="J265" s="31"/>
      <c r="K265" s="32"/>
      <c r="L265" s="32"/>
      <c r="M265" s="32"/>
      <c r="N265" s="32"/>
    </row>
    <row r="266" spans="1:14" ht="15" customHeight="1">
      <c r="A266" s="30"/>
      <c r="B266" s="30"/>
      <c r="C266" s="33" t="str">
        <f>IF(B266="","",IFERROR(INDEX(품목마스터!$B$2:$B$300,MATCH(B266,품목마스터!$A$2:$A$300,0)),"※미등록"))</f>
        <v/>
      </c>
      <c r="D266" s="32"/>
      <c r="E266" s="33" t="str">
        <f>IF(D266="","",IFERROR(INDEX(담당자마스터!$B$2:$B$300,MATCH(D266,담당자마스터!$A$2:$A$300,0)),"※미등록"))</f>
        <v/>
      </c>
      <c r="F266" s="32"/>
      <c r="G266" s="34"/>
      <c r="H266" s="32"/>
      <c r="I266" s="32"/>
      <c r="J266" s="31"/>
      <c r="K266" s="32"/>
      <c r="L266" s="32"/>
      <c r="M266" s="32"/>
      <c r="N266" s="32"/>
    </row>
    <row r="267" spans="1:14" ht="15" customHeight="1">
      <c r="A267" s="30"/>
      <c r="B267" s="30"/>
      <c r="C267" s="33" t="str">
        <f>IF(B267="","",IFERROR(INDEX(품목마스터!$B$2:$B$300,MATCH(B267,품목마스터!$A$2:$A$300,0)),"※미등록"))</f>
        <v/>
      </c>
      <c r="D267" s="32"/>
      <c r="E267" s="33" t="str">
        <f>IF(D267="","",IFERROR(INDEX(담당자마스터!$B$2:$B$300,MATCH(D267,담당자마스터!$A$2:$A$300,0)),"※미등록"))</f>
        <v/>
      </c>
      <c r="F267" s="32"/>
      <c r="G267" s="34"/>
      <c r="H267" s="32"/>
      <c r="I267" s="32"/>
      <c r="J267" s="31"/>
      <c r="K267" s="32"/>
      <c r="L267" s="32"/>
      <c r="M267" s="32"/>
      <c r="N267" s="32"/>
    </row>
    <row r="268" spans="1:14" ht="15" customHeight="1">
      <c r="A268" s="30"/>
      <c r="B268" s="30"/>
      <c r="C268" s="33" t="str">
        <f>IF(B268="","",IFERROR(INDEX(품목마스터!$B$2:$B$300,MATCH(B268,품목마스터!$A$2:$A$300,0)),"※미등록"))</f>
        <v/>
      </c>
      <c r="D268" s="32"/>
      <c r="E268" s="33" t="str">
        <f>IF(D268="","",IFERROR(INDEX(담당자마스터!$B$2:$B$300,MATCH(D268,담당자마스터!$A$2:$A$300,0)),"※미등록"))</f>
        <v/>
      </c>
      <c r="F268" s="32"/>
      <c r="G268" s="34"/>
      <c r="H268" s="32"/>
      <c r="I268" s="32"/>
      <c r="J268" s="31"/>
      <c r="K268" s="32"/>
      <c r="L268" s="32"/>
      <c r="M268" s="32"/>
      <c r="N268" s="32"/>
    </row>
    <row r="269" spans="1:14" ht="15" customHeight="1">
      <c r="A269" s="30"/>
      <c r="B269" s="30"/>
      <c r="C269" s="33" t="str">
        <f>IF(B269="","",IFERROR(INDEX(품목마스터!$B$2:$B$300,MATCH(B269,품목마스터!$A$2:$A$300,0)),"※미등록"))</f>
        <v/>
      </c>
      <c r="D269" s="32"/>
      <c r="E269" s="33" t="str">
        <f>IF(D269="","",IFERROR(INDEX(담당자마스터!$B$2:$B$300,MATCH(D269,담당자마스터!$A$2:$A$300,0)),"※미등록"))</f>
        <v/>
      </c>
      <c r="F269" s="32"/>
      <c r="G269" s="34"/>
      <c r="H269" s="32"/>
      <c r="I269" s="32"/>
      <c r="J269" s="31"/>
      <c r="K269" s="32"/>
      <c r="L269" s="32"/>
      <c r="M269" s="32"/>
      <c r="N269" s="32"/>
    </row>
    <row r="270" spans="1:14" ht="15" customHeight="1">
      <c r="A270" s="30"/>
      <c r="B270" s="30"/>
      <c r="C270" s="33" t="str">
        <f>IF(B270="","",IFERROR(INDEX(품목마스터!$B$2:$B$300,MATCH(B270,품목마스터!$A$2:$A$300,0)),"※미등록"))</f>
        <v/>
      </c>
      <c r="D270" s="32"/>
      <c r="E270" s="33" t="str">
        <f>IF(D270="","",IFERROR(INDEX(담당자마스터!$B$2:$B$300,MATCH(D270,담당자마스터!$A$2:$A$300,0)),"※미등록"))</f>
        <v/>
      </c>
      <c r="F270" s="32"/>
      <c r="G270" s="34"/>
      <c r="H270" s="32"/>
      <c r="I270" s="32"/>
      <c r="J270" s="31"/>
      <c r="K270" s="32"/>
      <c r="L270" s="32"/>
      <c r="M270" s="32"/>
      <c r="N270" s="32"/>
    </row>
    <row r="271" spans="1:14" ht="15" customHeight="1">
      <c r="A271" s="30"/>
      <c r="B271" s="30"/>
      <c r="C271" s="33" t="str">
        <f>IF(B271="","",IFERROR(INDEX(품목마스터!$B$2:$B$300,MATCH(B271,품목마스터!$A$2:$A$300,0)),"※미등록"))</f>
        <v/>
      </c>
      <c r="D271" s="32"/>
      <c r="E271" s="33" t="str">
        <f>IF(D271="","",IFERROR(INDEX(담당자마스터!$B$2:$B$300,MATCH(D271,담당자마스터!$A$2:$A$300,0)),"※미등록"))</f>
        <v/>
      </c>
      <c r="F271" s="32"/>
      <c r="G271" s="34"/>
      <c r="H271" s="32"/>
      <c r="I271" s="32"/>
      <c r="J271" s="31"/>
      <c r="K271" s="32"/>
      <c r="L271" s="32"/>
      <c r="M271" s="32"/>
      <c r="N271" s="32"/>
    </row>
    <row r="272" spans="1:14" ht="15" customHeight="1">
      <c r="A272" s="30"/>
      <c r="B272" s="30"/>
      <c r="C272" s="33" t="str">
        <f>IF(B272="","",IFERROR(INDEX(품목마스터!$B$2:$B$300,MATCH(B272,품목마스터!$A$2:$A$300,0)),"※미등록"))</f>
        <v/>
      </c>
      <c r="D272" s="32"/>
      <c r="E272" s="33" t="str">
        <f>IF(D272="","",IFERROR(INDEX(담당자마스터!$B$2:$B$300,MATCH(D272,담당자마스터!$A$2:$A$300,0)),"※미등록"))</f>
        <v/>
      </c>
      <c r="F272" s="32"/>
      <c r="G272" s="34"/>
      <c r="H272" s="32"/>
      <c r="I272" s="32"/>
      <c r="J272" s="31"/>
      <c r="K272" s="32"/>
      <c r="L272" s="32"/>
      <c r="M272" s="32"/>
      <c r="N272" s="32"/>
    </row>
    <row r="273" spans="1:14" ht="15" customHeight="1">
      <c r="A273" s="30"/>
      <c r="B273" s="30"/>
      <c r="C273" s="33" t="str">
        <f>IF(B273="","",IFERROR(INDEX(품목마스터!$B$2:$B$300,MATCH(B273,품목마스터!$A$2:$A$300,0)),"※미등록"))</f>
        <v/>
      </c>
      <c r="D273" s="32"/>
      <c r="E273" s="33" t="str">
        <f>IF(D273="","",IFERROR(INDEX(담당자마스터!$B$2:$B$300,MATCH(D273,담당자마스터!$A$2:$A$300,0)),"※미등록"))</f>
        <v/>
      </c>
      <c r="F273" s="32"/>
      <c r="G273" s="34"/>
      <c r="H273" s="32"/>
      <c r="I273" s="32"/>
      <c r="J273" s="31"/>
      <c r="K273" s="32"/>
      <c r="L273" s="32"/>
      <c r="M273" s="32"/>
      <c r="N273" s="32"/>
    </row>
    <row r="274" spans="1:14" ht="15" customHeight="1">
      <c r="A274" s="30"/>
      <c r="B274" s="30"/>
      <c r="C274" s="33" t="str">
        <f>IF(B274="","",IFERROR(INDEX(품목마스터!$B$2:$B$300,MATCH(B274,품목마스터!$A$2:$A$300,0)),"※미등록"))</f>
        <v/>
      </c>
      <c r="D274" s="32"/>
      <c r="E274" s="33" t="str">
        <f>IF(D274="","",IFERROR(INDEX(담당자마스터!$B$2:$B$300,MATCH(D274,담당자마스터!$A$2:$A$300,0)),"※미등록"))</f>
        <v/>
      </c>
      <c r="F274" s="32"/>
      <c r="G274" s="34"/>
      <c r="H274" s="32"/>
      <c r="I274" s="32"/>
      <c r="J274" s="31"/>
      <c r="K274" s="32"/>
      <c r="L274" s="32"/>
      <c r="M274" s="32"/>
      <c r="N274" s="32"/>
    </row>
    <row r="275" spans="1:14" ht="15" customHeight="1">
      <c r="A275" s="30"/>
      <c r="B275" s="30"/>
      <c r="C275" s="33" t="str">
        <f>IF(B275="","",IFERROR(INDEX(품목마스터!$B$2:$B$300,MATCH(B275,품목마스터!$A$2:$A$300,0)),"※미등록"))</f>
        <v/>
      </c>
      <c r="D275" s="32"/>
      <c r="E275" s="33" t="str">
        <f>IF(D275="","",IFERROR(INDEX(담당자마스터!$B$2:$B$300,MATCH(D275,담당자마스터!$A$2:$A$300,0)),"※미등록"))</f>
        <v/>
      </c>
      <c r="F275" s="32"/>
      <c r="G275" s="34"/>
      <c r="H275" s="32"/>
      <c r="I275" s="32"/>
      <c r="J275" s="31"/>
      <c r="K275" s="32"/>
      <c r="L275" s="32"/>
      <c r="M275" s="32"/>
      <c r="N275" s="32"/>
    </row>
    <row r="276" spans="1:14" ht="15" customHeight="1">
      <c r="A276" s="30"/>
      <c r="B276" s="30"/>
      <c r="C276" s="33" t="str">
        <f>IF(B276="","",IFERROR(INDEX(품목마스터!$B$2:$B$300,MATCH(B276,품목마스터!$A$2:$A$300,0)),"※미등록"))</f>
        <v/>
      </c>
      <c r="D276" s="32"/>
      <c r="E276" s="33" t="str">
        <f>IF(D276="","",IFERROR(INDEX(담당자마스터!$B$2:$B$300,MATCH(D276,담당자마스터!$A$2:$A$300,0)),"※미등록"))</f>
        <v/>
      </c>
      <c r="F276" s="32"/>
      <c r="G276" s="34"/>
      <c r="H276" s="32"/>
      <c r="I276" s="32"/>
      <c r="J276" s="31"/>
      <c r="K276" s="32"/>
      <c r="L276" s="32"/>
      <c r="M276" s="32"/>
      <c r="N276" s="32"/>
    </row>
    <row r="277" spans="1:14" ht="15" customHeight="1">
      <c r="A277" s="30"/>
      <c r="B277" s="30"/>
      <c r="C277" s="33" t="str">
        <f>IF(B277="","",IFERROR(INDEX(품목마스터!$B$2:$B$300,MATCH(B277,품목마스터!$A$2:$A$300,0)),"※미등록"))</f>
        <v/>
      </c>
      <c r="D277" s="32"/>
      <c r="E277" s="33" t="str">
        <f>IF(D277="","",IFERROR(INDEX(담당자마스터!$B$2:$B$300,MATCH(D277,담당자마스터!$A$2:$A$300,0)),"※미등록"))</f>
        <v/>
      </c>
      <c r="F277" s="32"/>
      <c r="G277" s="34"/>
      <c r="H277" s="32"/>
      <c r="I277" s="32"/>
      <c r="J277" s="31"/>
      <c r="K277" s="32"/>
      <c r="L277" s="32"/>
      <c r="M277" s="32"/>
      <c r="N277" s="32"/>
    </row>
    <row r="278" spans="1:14" ht="15" customHeight="1">
      <c r="A278" s="30"/>
      <c r="B278" s="30"/>
      <c r="C278" s="33" t="str">
        <f>IF(B278="","",IFERROR(INDEX(품목마스터!$B$2:$B$300,MATCH(B278,품목마스터!$A$2:$A$300,0)),"※미등록"))</f>
        <v/>
      </c>
      <c r="D278" s="32"/>
      <c r="E278" s="33" t="str">
        <f>IF(D278="","",IFERROR(INDEX(담당자마스터!$B$2:$B$300,MATCH(D278,담당자마스터!$A$2:$A$300,0)),"※미등록"))</f>
        <v/>
      </c>
      <c r="F278" s="32"/>
      <c r="G278" s="34"/>
      <c r="H278" s="32"/>
      <c r="I278" s="32"/>
      <c r="J278" s="31"/>
      <c r="K278" s="32"/>
      <c r="L278" s="32"/>
      <c r="M278" s="32"/>
      <c r="N278" s="32"/>
    </row>
    <row r="279" spans="1:14" ht="15" customHeight="1">
      <c r="A279" s="30"/>
      <c r="B279" s="30"/>
      <c r="C279" s="33" t="str">
        <f>IF(B279="","",IFERROR(INDEX(품목마스터!$B$2:$B$300,MATCH(B279,품목마스터!$A$2:$A$300,0)),"※미등록"))</f>
        <v/>
      </c>
      <c r="D279" s="32"/>
      <c r="E279" s="33" t="str">
        <f>IF(D279="","",IFERROR(INDEX(담당자마스터!$B$2:$B$300,MATCH(D279,담당자마스터!$A$2:$A$300,0)),"※미등록"))</f>
        <v/>
      </c>
      <c r="F279" s="32"/>
      <c r="G279" s="34"/>
      <c r="H279" s="32"/>
      <c r="I279" s="32"/>
      <c r="J279" s="31"/>
      <c r="K279" s="32"/>
      <c r="L279" s="32"/>
      <c r="M279" s="32"/>
      <c r="N279" s="32"/>
    </row>
    <row r="280" spans="1:14" ht="15" customHeight="1">
      <c r="A280" s="30"/>
      <c r="B280" s="30"/>
      <c r="C280" s="33" t="str">
        <f>IF(B280="","",IFERROR(INDEX(품목마스터!$B$2:$B$300,MATCH(B280,품목마스터!$A$2:$A$300,0)),"※미등록"))</f>
        <v/>
      </c>
      <c r="D280" s="32"/>
      <c r="E280" s="33" t="str">
        <f>IF(D280="","",IFERROR(INDEX(담당자마스터!$B$2:$B$300,MATCH(D280,담당자마스터!$A$2:$A$300,0)),"※미등록"))</f>
        <v/>
      </c>
      <c r="F280" s="32"/>
      <c r="G280" s="34"/>
      <c r="H280" s="32"/>
      <c r="I280" s="32"/>
      <c r="J280" s="31"/>
      <c r="K280" s="32"/>
      <c r="L280" s="32"/>
      <c r="M280" s="32"/>
      <c r="N280" s="32"/>
    </row>
    <row r="281" spans="1:14" ht="15" customHeight="1">
      <c r="A281" s="30"/>
      <c r="B281" s="30"/>
      <c r="C281" s="33" t="str">
        <f>IF(B281="","",IFERROR(INDEX(품목마스터!$B$2:$B$300,MATCH(B281,품목마스터!$A$2:$A$300,0)),"※미등록"))</f>
        <v/>
      </c>
      <c r="D281" s="32"/>
      <c r="E281" s="33" t="str">
        <f>IF(D281="","",IFERROR(INDEX(담당자마스터!$B$2:$B$300,MATCH(D281,담당자마스터!$A$2:$A$300,0)),"※미등록"))</f>
        <v/>
      </c>
      <c r="F281" s="32"/>
      <c r="G281" s="34"/>
      <c r="H281" s="32"/>
      <c r="I281" s="32"/>
      <c r="J281" s="31"/>
      <c r="K281" s="32"/>
      <c r="L281" s="32"/>
      <c r="M281" s="32"/>
      <c r="N281" s="32"/>
    </row>
    <row r="282" spans="1:14" ht="15" customHeight="1">
      <c r="A282" s="30"/>
      <c r="B282" s="30"/>
      <c r="C282" s="33" t="str">
        <f>IF(B282="","",IFERROR(INDEX(품목마스터!$B$2:$B$300,MATCH(B282,품목마스터!$A$2:$A$300,0)),"※미등록"))</f>
        <v/>
      </c>
      <c r="D282" s="32"/>
      <c r="E282" s="33" t="str">
        <f>IF(D282="","",IFERROR(INDEX(담당자마스터!$B$2:$B$300,MATCH(D282,담당자마스터!$A$2:$A$300,0)),"※미등록"))</f>
        <v/>
      </c>
      <c r="F282" s="32"/>
      <c r="G282" s="34"/>
      <c r="H282" s="32"/>
      <c r="I282" s="32"/>
      <c r="J282" s="31"/>
      <c r="K282" s="32"/>
      <c r="L282" s="32"/>
      <c r="M282" s="32"/>
      <c r="N282" s="32"/>
    </row>
    <row r="283" spans="1:14" ht="15" customHeight="1">
      <c r="A283" s="30"/>
      <c r="B283" s="30"/>
      <c r="C283" s="33" t="str">
        <f>IF(B283="","",IFERROR(INDEX(품목마스터!$B$2:$B$300,MATCH(B283,품목마스터!$A$2:$A$300,0)),"※미등록"))</f>
        <v/>
      </c>
      <c r="D283" s="32"/>
      <c r="E283" s="33" t="str">
        <f>IF(D283="","",IFERROR(INDEX(담당자마스터!$B$2:$B$300,MATCH(D283,담당자마스터!$A$2:$A$300,0)),"※미등록"))</f>
        <v/>
      </c>
      <c r="F283" s="32"/>
      <c r="G283" s="34"/>
      <c r="H283" s="32"/>
      <c r="I283" s="32"/>
      <c r="J283" s="31"/>
      <c r="K283" s="32"/>
      <c r="L283" s="32"/>
      <c r="M283" s="32"/>
      <c r="N283" s="32"/>
    </row>
    <row r="284" spans="1:14" ht="15" customHeight="1">
      <c r="A284" s="30"/>
      <c r="B284" s="30"/>
      <c r="C284" s="33" t="str">
        <f>IF(B284="","",IFERROR(INDEX(품목마스터!$B$2:$B$300,MATCH(B284,품목마스터!$A$2:$A$300,0)),"※미등록"))</f>
        <v/>
      </c>
      <c r="D284" s="32"/>
      <c r="E284" s="33" t="str">
        <f>IF(D284="","",IFERROR(INDEX(담당자마스터!$B$2:$B$300,MATCH(D284,담당자마스터!$A$2:$A$300,0)),"※미등록"))</f>
        <v/>
      </c>
      <c r="F284" s="32"/>
      <c r="G284" s="34"/>
      <c r="H284" s="32"/>
      <c r="I284" s="32"/>
      <c r="J284" s="31"/>
      <c r="K284" s="32"/>
      <c r="L284" s="32"/>
      <c r="M284" s="32"/>
      <c r="N284" s="32"/>
    </row>
    <row r="285" spans="1:14" ht="15" customHeight="1">
      <c r="A285" s="30"/>
      <c r="B285" s="30"/>
      <c r="C285" s="33" t="str">
        <f>IF(B285="","",IFERROR(INDEX(품목마스터!$B$2:$B$300,MATCH(B285,품목마스터!$A$2:$A$300,0)),"※미등록"))</f>
        <v/>
      </c>
      <c r="D285" s="32"/>
      <c r="E285" s="33" t="str">
        <f>IF(D285="","",IFERROR(INDEX(담당자마스터!$B$2:$B$300,MATCH(D285,담당자마스터!$A$2:$A$300,0)),"※미등록"))</f>
        <v/>
      </c>
      <c r="F285" s="32"/>
      <c r="G285" s="34"/>
      <c r="H285" s="32"/>
      <c r="I285" s="32"/>
      <c r="J285" s="31"/>
      <c r="K285" s="32"/>
      <c r="L285" s="32"/>
      <c r="M285" s="32"/>
      <c r="N285" s="32"/>
    </row>
    <row r="286" spans="1:14" ht="15" customHeight="1">
      <c r="A286" s="30"/>
      <c r="B286" s="30"/>
      <c r="C286" s="33" t="str">
        <f>IF(B286="","",IFERROR(INDEX(품목마스터!$B$2:$B$300,MATCH(B286,품목마스터!$A$2:$A$300,0)),"※미등록"))</f>
        <v/>
      </c>
      <c r="D286" s="32"/>
      <c r="E286" s="33" t="str">
        <f>IF(D286="","",IFERROR(INDEX(담당자마스터!$B$2:$B$300,MATCH(D286,담당자마스터!$A$2:$A$300,0)),"※미등록"))</f>
        <v/>
      </c>
      <c r="F286" s="32"/>
      <c r="G286" s="34"/>
      <c r="H286" s="32"/>
      <c r="I286" s="32"/>
      <c r="J286" s="31"/>
      <c r="K286" s="32"/>
      <c r="L286" s="32"/>
      <c r="M286" s="32"/>
      <c r="N286" s="32"/>
    </row>
    <row r="287" spans="1:14" ht="15" customHeight="1">
      <c r="A287" s="30"/>
      <c r="B287" s="30"/>
      <c r="C287" s="33" t="str">
        <f>IF(B287="","",IFERROR(INDEX(품목마스터!$B$2:$B$300,MATCH(B287,품목마스터!$A$2:$A$300,0)),"※미등록"))</f>
        <v/>
      </c>
      <c r="D287" s="32"/>
      <c r="E287" s="33" t="str">
        <f>IF(D287="","",IFERROR(INDEX(담당자마스터!$B$2:$B$300,MATCH(D287,담당자마스터!$A$2:$A$300,0)),"※미등록"))</f>
        <v/>
      </c>
      <c r="F287" s="32"/>
      <c r="G287" s="34"/>
      <c r="H287" s="32"/>
      <c r="I287" s="32"/>
      <c r="J287" s="31"/>
      <c r="K287" s="32"/>
      <c r="L287" s="32"/>
      <c r="M287" s="32"/>
      <c r="N287" s="32"/>
    </row>
    <row r="288" spans="1:14" ht="15" customHeight="1">
      <c r="A288" s="30"/>
      <c r="B288" s="30"/>
      <c r="C288" s="33" t="str">
        <f>IF(B288="","",IFERROR(INDEX(품목마스터!$B$2:$B$300,MATCH(B288,품목마스터!$A$2:$A$300,0)),"※미등록"))</f>
        <v/>
      </c>
      <c r="D288" s="32"/>
      <c r="E288" s="33" t="str">
        <f>IF(D288="","",IFERROR(INDEX(담당자마스터!$B$2:$B$300,MATCH(D288,담당자마스터!$A$2:$A$300,0)),"※미등록"))</f>
        <v/>
      </c>
      <c r="F288" s="32"/>
      <c r="G288" s="34"/>
      <c r="H288" s="32"/>
      <c r="I288" s="32"/>
      <c r="J288" s="31"/>
      <c r="K288" s="32"/>
      <c r="L288" s="32"/>
      <c r="M288" s="32"/>
      <c r="N288" s="32"/>
    </row>
    <row r="289" spans="1:14" ht="15" customHeight="1">
      <c r="A289" s="30"/>
      <c r="B289" s="30"/>
      <c r="C289" s="33" t="str">
        <f>IF(B289="","",IFERROR(INDEX(품목마스터!$B$2:$B$300,MATCH(B289,품목마스터!$A$2:$A$300,0)),"※미등록"))</f>
        <v/>
      </c>
      <c r="D289" s="32"/>
      <c r="E289" s="33" t="str">
        <f>IF(D289="","",IFERROR(INDEX(담당자마스터!$B$2:$B$300,MATCH(D289,담당자마스터!$A$2:$A$300,0)),"※미등록"))</f>
        <v/>
      </c>
      <c r="F289" s="32"/>
      <c r="G289" s="34"/>
      <c r="H289" s="32"/>
      <c r="I289" s="32"/>
      <c r="J289" s="31"/>
      <c r="K289" s="32"/>
      <c r="L289" s="32"/>
      <c r="M289" s="32"/>
      <c r="N289" s="32"/>
    </row>
    <row r="290" spans="1:14" ht="15" customHeight="1">
      <c r="A290" s="30"/>
      <c r="B290" s="30"/>
      <c r="C290" s="33" t="str">
        <f>IF(B290="","",IFERROR(INDEX(품목마스터!$B$2:$B$300,MATCH(B290,품목마스터!$A$2:$A$300,0)),"※미등록"))</f>
        <v/>
      </c>
      <c r="D290" s="32"/>
      <c r="E290" s="33" t="str">
        <f>IF(D290="","",IFERROR(INDEX(담당자마스터!$B$2:$B$300,MATCH(D290,담당자마스터!$A$2:$A$300,0)),"※미등록"))</f>
        <v/>
      </c>
      <c r="F290" s="32"/>
      <c r="G290" s="34"/>
      <c r="H290" s="32"/>
      <c r="I290" s="32"/>
      <c r="J290" s="31"/>
      <c r="K290" s="32"/>
      <c r="L290" s="32"/>
      <c r="M290" s="32"/>
      <c r="N290" s="32"/>
    </row>
    <row r="291" spans="1:14" ht="15" customHeight="1">
      <c r="A291" s="30"/>
      <c r="B291" s="30"/>
      <c r="C291" s="33" t="str">
        <f>IF(B291="","",IFERROR(INDEX(품목마스터!$B$2:$B$300,MATCH(B291,품목마스터!$A$2:$A$300,0)),"※미등록"))</f>
        <v/>
      </c>
      <c r="D291" s="32"/>
      <c r="E291" s="33" t="str">
        <f>IF(D291="","",IFERROR(INDEX(담당자마스터!$B$2:$B$300,MATCH(D291,담당자마스터!$A$2:$A$300,0)),"※미등록"))</f>
        <v/>
      </c>
      <c r="F291" s="32"/>
      <c r="G291" s="34"/>
      <c r="H291" s="32"/>
      <c r="I291" s="32"/>
      <c r="J291" s="31"/>
      <c r="K291" s="32"/>
      <c r="L291" s="32"/>
      <c r="M291" s="32"/>
      <c r="N291" s="32"/>
    </row>
    <row r="292" spans="1:14" ht="15" customHeight="1">
      <c r="A292" s="30"/>
      <c r="B292" s="30"/>
      <c r="C292" s="33" t="str">
        <f>IF(B292="","",IFERROR(INDEX(품목마스터!$B$2:$B$300,MATCH(B292,품목마스터!$A$2:$A$300,0)),"※미등록"))</f>
        <v/>
      </c>
      <c r="D292" s="32"/>
      <c r="E292" s="33" t="str">
        <f>IF(D292="","",IFERROR(INDEX(담당자마스터!$B$2:$B$300,MATCH(D292,담당자마스터!$A$2:$A$300,0)),"※미등록"))</f>
        <v/>
      </c>
      <c r="F292" s="32"/>
      <c r="G292" s="34"/>
      <c r="H292" s="32"/>
      <c r="I292" s="32"/>
      <c r="J292" s="31"/>
      <c r="K292" s="32"/>
      <c r="L292" s="32"/>
      <c r="M292" s="32"/>
      <c r="N292" s="32"/>
    </row>
    <row r="293" spans="1:14" ht="15" customHeight="1">
      <c r="A293" s="30"/>
      <c r="B293" s="30"/>
      <c r="C293" s="33" t="str">
        <f>IF(B293="","",IFERROR(INDEX(품목마스터!$B$2:$B$300,MATCH(B293,품목마스터!$A$2:$A$300,0)),"※미등록"))</f>
        <v/>
      </c>
      <c r="D293" s="32"/>
      <c r="E293" s="33" t="str">
        <f>IF(D293="","",IFERROR(INDEX(담당자마스터!$B$2:$B$300,MATCH(D293,담당자마스터!$A$2:$A$300,0)),"※미등록"))</f>
        <v/>
      </c>
      <c r="F293" s="32"/>
      <c r="G293" s="34"/>
      <c r="H293" s="32"/>
      <c r="I293" s="32"/>
      <c r="J293" s="31"/>
      <c r="K293" s="32"/>
      <c r="L293" s="32"/>
      <c r="M293" s="32"/>
      <c r="N293" s="32"/>
    </row>
    <row r="294" spans="1:14" ht="15" customHeight="1">
      <c r="A294" s="30"/>
      <c r="B294" s="30"/>
      <c r="C294" s="33" t="str">
        <f>IF(B294="","",IFERROR(INDEX(품목마스터!$B$2:$B$300,MATCH(B294,품목마스터!$A$2:$A$300,0)),"※미등록"))</f>
        <v/>
      </c>
      <c r="D294" s="32"/>
      <c r="E294" s="33" t="str">
        <f>IF(D294="","",IFERROR(INDEX(담당자마스터!$B$2:$B$300,MATCH(D294,담당자마스터!$A$2:$A$300,0)),"※미등록"))</f>
        <v/>
      </c>
      <c r="F294" s="32"/>
      <c r="G294" s="34"/>
      <c r="H294" s="32"/>
      <c r="I294" s="32"/>
      <c r="J294" s="31"/>
      <c r="K294" s="32"/>
      <c r="L294" s="32"/>
      <c r="M294" s="32"/>
      <c r="N294" s="32"/>
    </row>
    <row r="295" spans="1:14" ht="15" customHeight="1">
      <c r="A295" s="30"/>
      <c r="B295" s="30"/>
      <c r="C295" s="33" t="str">
        <f>IF(B295="","",IFERROR(INDEX(품목마스터!$B$2:$B$300,MATCH(B295,품목마스터!$A$2:$A$300,0)),"※미등록"))</f>
        <v/>
      </c>
      <c r="D295" s="32"/>
      <c r="E295" s="33" t="str">
        <f>IF(D295="","",IFERROR(INDEX(담당자마스터!$B$2:$B$300,MATCH(D295,담당자마스터!$A$2:$A$300,0)),"※미등록"))</f>
        <v/>
      </c>
      <c r="F295" s="32"/>
      <c r="G295" s="34"/>
      <c r="H295" s="32"/>
      <c r="I295" s="32"/>
      <c r="J295" s="31"/>
      <c r="K295" s="32"/>
      <c r="L295" s="32"/>
      <c r="M295" s="32"/>
      <c r="N295" s="32"/>
    </row>
    <row r="296" spans="1:14" ht="15" customHeight="1">
      <c r="A296" s="30"/>
      <c r="B296" s="30"/>
      <c r="C296" s="33" t="str">
        <f>IF(B296="","",IFERROR(INDEX(품목마스터!$B$2:$B$300,MATCH(B296,품목마스터!$A$2:$A$300,0)),"※미등록"))</f>
        <v/>
      </c>
      <c r="D296" s="32"/>
      <c r="E296" s="33" t="str">
        <f>IF(D296="","",IFERROR(INDEX(담당자마스터!$B$2:$B$300,MATCH(D296,담당자마스터!$A$2:$A$300,0)),"※미등록"))</f>
        <v/>
      </c>
      <c r="F296" s="32"/>
      <c r="G296" s="34"/>
      <c r="H296" s="32"/>
      <c r="I296" s="32"/>
      <c r="J296" s="31"/>
      <c r="K296" s="32"/>
      <c r="L296" s="32"/>
      <c r="M296" s="32"/>
      <c r="N296" s="32"/>
    </row>
    <row r="297" spans="1:14" ht="15" customHeight="1">
      <c r="A297" s="30"/>
      <c r="B297" s="30"/>
      <c r="C297" s="33" t="str">
        <f>IF(B297="","",IFERROR(INDEX(품목마스터!$B$2:$B$300,MATCH(B297,품목마스터!$A$2:$A$300,0)),"※미등록"))</f>
        <v/>
      </c>
      <c r="D297" s="32"/>
      <c r="E297" s="33" t="str">
        <f>IF(D297="","",IFERROR(INDEX(담당자마스터!$B$2:$B$300,MATCH(D297,담당자마스터!$A$2:$A$300,0)),"※미등록"))</f>
        <v/>
      </c>
      <c r="F297" s="32"/>
      <c r="G297" s="34"/>
      <c r="H297" s="32"/>
      <c r="I297" s="32"/>
      <c r="J297" s="31"/>
      <c r="K297" s="32"/>
      <c r="L297" s="32"/>
      <c r="M297" s="32"/>
      <c r="N297" s="32"/>
    </row>
    <row r="298" spans="1:14" ht="15" customHeight="1">
      <c r="A298" s="30"/>
      <c r="B298" s="30"/>
      <c r="C298" s="33" t="str">
        <f>IF(B298="","",IFERROR(INDEX(품목마스터!$B$2:$B$300,MATCH(B298,품목마스터!$A$2:$A$300,0)),"※미등록"))</f>
        <v/>
      </c>
      <c r="D298" s="32"/>
      <c r="E298" s="33" t="str">
        <f>IF(D298="","",IFERROR(INDEX(담당자마스터!$B$2:$B$300,MATCH(D298,담당자마스터!$A$2:$A$300,0)),"※미등록"))</f>
        <v/>
      </c>
      <c r="F298" s="32"/>
      <c r="G298" s="34"/>
      <c r="H298" s="32"/>
      <c r="I298" s="32"/>
      <c r="J298" s="31"/>
      <c r="K298" s="32"/>
      <c r="L298" s="32"/>
      <c r="M298" s="32"/>
      <c r="N298" s="32"/>
    </row>
    <row r="299" spans="1:14" ht="15" customHeight="1">
      <c r="A299" s="30"/>
      <c r="B299" s="30"/>
      <c r="C299" s="33" t="str">
        <f>IF(B299="","",IFERROR(INDEX(품목마스터!$B$2:$B$300,MATCH(B299,품목마스터!$A$2:$A$300,0)),"※미등록"))</f>
        <v/>
      </c>
      <c r="D299" s="32"/>
      <c r="E299" s="33" t="str">
        <f>IF(D299="","",IFERROR(INDEX(담당자마스터!$B$2:$B$300,MATCH(D299,담당자마스터!$A$2:$A$300,0)),"※미등록"))</f>
        <v/>
      </c>
      <c r="F299" s="32"/>
      <c r="G299" s="34"/>
      <c r="H299" s="32"/>
      <c r="I299" s="32"/>
      <c r="J299" s="31"/>
      <c r="K299" s="32"/>
      <c r="L299" s="32"/>
      <c r="M299" s="32"/>
      <c r="N299" s="32"/>
    </row>
    <row r="300" spans="1:14" ht="15" customHeight="1">
      <c r="A300" s="30"/>
      <c r="B300" s="30"/>
      <c r="C300" s="33" t="str">
        <f>IF(B300="","",IFERROR(INDEX(품목마스터!$B$2:$B$300,MATCH(B300,품목마스터!$A$2:$A$300,0)),"※미등록"))</f>
        <v/>
      </c>
      <c r="D300" s="32"/>
      <c r="E300" s="33" t="str">
        <f>IF(D300="","",IFERROR(INDEX(담당자마스터!$B$2:$B$300,MATCH(D300,담당자마스터!$A$2:$A$300,0)),"※미등록"))</f>
        <v/>
      </c>
      <c r="F300" s="32"/>
      <c r="G300" s="34"/>
      <c r="H300" s="32"/>
      <c r="I300" s="32"/>
      <c r="J300" s="31"/>
      <c r="K300" s="32"/>
      <c r="L300" s="32"/>
      <c r="M300" s="32"/>
      <c r="N300" s="32"/>
    </row>
  </sheetData>
  <autoFilter ref="A1:N300" xr:uid="{00000000-0009-0000-0000-000007000000}"/>
  <phoneticPr fontId="23" type="noConversion"/>
  <dataValidations count="1">
    <dataValidation type="decimal" allowBlank="1" errorTitle="입력 오류" error="0%~100% 사이 값을 입력하세요 (예: 0.8 = 80%)" sqref="G2:G300" xr:uid="{00000000-0002-0000-07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입력 오류" error="코드표에 등록된 값만 입력할 수 있습니다." xr:uid="{00000000-0002-0000-0700-000000000000}">
          <x14:formula1>
            <xm:f>코드표!$C$2:$C$7</xm:f>
          </x14:formula1>
          <x14:formula2>
            <xm:f>0</xm:f>
          </x14:formula2>
          <xm:sqref>F2:F300</xm:sqref>
        </x14:dataValidation>
        <x14:dataValidation type="list" allowBlank="1" errorTitle="입력 오류" error="코드표에 등록된 값만 입력할 수 있습니다." xr:uid="{00000000-0002-0000-0700-000001000000}">
          <x14:formula1>
            <xm:f>코드표!$F$2:$F$5</xm:f>
          </x14:formula1>
          <x14:formula2>
            <xm:f>0</xm:f>
          </x14:formula2>
          <xm:sqref>J2:J300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28" customWidth="1"/>
    <col min="3" max="3" width="8" customWidth="1"/>
    <col min="4" max="5" width="10" customWidth="1"/>
    <col min="6" max="6" width="8" customWidth="1"/>
    <col min="7" max="7" width="9" customWidth="1"/>
    <col min="8" max="9" width="8" customWidth="1"/>
    <col min="10" max="13" width="7" customWidth="1"/>
    <col min="14" max="14" width="9" customWidth="1"/>
    <col min="15" max="15" width="12" customWidth="1"/>
  </cols>
  <sheetData>
    <row r="1" spans="1:15" ht="30" customHeight="1">
      <c r="A1" s="28" t="s">
        <v>175</v>
      </c>
      <c r="B1" s="28" t="s">
        <v>176</v>
      </c>
      <c r="C1" s="28" t="s">
        <v>178</v>
      </c>
      <c r="D1" s="28" t="s">
        <v>446</v>
      </c>
      <c r="E1" s="28" t="s">
        <v>447</v>
      </c>
      <c r="F1" s="28" t="s">
        <v>209</v>
      </c>
      <c r="G1" s="28" t="s">
        <v>236</v>
      </c>
      <c r="H1" s="28" t="s">
        <v>265</v>
      </c>
      <c r="I1" s="29" t="s">
        <v>286</v>
      </c>
      <c r="J1" s="28" t="s">
        <v>193</v>
      </c>
      <c r="K1" s="29" t="s">
        <v>15</v>
      </c>
      <c r="L1" s="29" t="s">
        <v>18</v>
      </c>
      <c r="M1" s="29" t="s">
        <v>21</v>
      </c>
      <c r="N1" s="29" t="s">
        <v>448</v>
      </c>
      <c r="O1" s="28" t="s">
        <v>449</v>
      </c>
    </row>
    <row r="2" spans="1:15" ht="15" customHeight="1">
      <c r="A2" s="33" t="str">
        <f>IF(상품마스터!A2="","",상품마스터!A2)</f>
        <v>MAT-001</v>
      </c>
      <c r="B2" s="33" t="str">
        <f>IF($A2="","",상품마스터!B2)</f>
        <v>에어매트리스 A (커버 2분리)</v>
      </c>
      <c r="C2" s="33" t="str">
        <f>IF($A2="","",상품마스터!D2)</f>
        <v>개발</v>
      </c>
      <c r="D2" s="33">
        <f>IF($A2="","",COUNTIFS(NPI진행현황!$A$2:$A$300,$A2))</f>
        <v>17</v>
      </c>
      <c r="E2" s="35">
        <f>IF($A2="","",IFERROR(AVERAGEIFS(NPI진행현황!$G$2:$G$300,NPI진행현황!$A$2:$A$300,$A2),"-"))</f>
        <v>0.71470588235294108</v>
      </c>
      <c r="F2" s="35">
        <f>IF($A2="","",IFERROR(AVERAGEIFS(NPI진행현황!$G$2:$G$300,NPI진행현황!$A$2:$A$300,$A2,NPI진행현황!$B$2:$B$300,"CV-*"),"-"))</f>
        <v>0.78</v>
      </c>
      <c r="G2" s="35">
        <f>IF($A2="","",IFERROR(AVERAGEIFS(NPI진행현황!$G$2:$G$300,NPI진행현황!$A$2:$A$300,$A2,NPI진행현황!$B$2:$B$300,"CT-*"),"-"))</f>
        <v>0.70000000000000007</v>
      </c>
      <c r="H2" s="35">
        <f>IF($A2="","",IFERROR(AVERAGEIFS(NPI진행현황!$G$2:$G$300,NPI진행현황!$A$2:$A$300,$A2,NPI진행현황!$B$2:$B$300,"PK-*"),"-"))</f>
        <v>0.63333333333333341</v>
      </c>
      <c r="I2" s="35">
        <f>IF($A2="","",IFERROR(AVERAGEIFS(NPI진행현황!$G$2:$G$300,NPI진행현황!$A$2:$A$300,$A2,NPI진행현황!$B$2:$B$300,"SW-*"),"-"))</f>
        <v>0.71666666666666667</v>
      </c>
      <c r="J2" s="33">
        <f>IF($A2="","",COUNTIFS(NPI진행현황!$A$2:$A$300,$A2,NPI진행현황!$F$2:$F$300,"기획"))</f>
        <v>1</v>
      </c>
      <c r="K2" s="33">
        <f>IF($A2="","",COUNTIFS(NPI진행현황!$A$2:$A$300,$A2,NPI진행현황!$F$2:$F$300,"EVT"))</f>
        <v>3</v>
      </c>
      <c r="L2" s="33">
        <f>IF($A2="","",COUNTIFS(NPI진행현황!$A$2:$A$300,$A2,NPI진행현황!$F$2:$F$300,"DVT"))</f>
        <v>6</v>
      </c>
      <c r="M2" s="33">
        <f>IF($A2="","",COUNTIFS(NPI진행현황!$A$2:$A$300,$A2,NPI진행현황!$F$2:$F$300,"PVT"))</f>
        <v>4</v>
      </c>
      <c r="N2" s="33">
        <f>IF($A2="","",COUNTIFS(NPI진행현황!$A$2:$A$300,$A2,NPI진행현황!$F$2:$F$300,"MP(양산)"))</f>
        <v>3</v>
      </c>
      <c r="O2" s="33">
        <f>IF($A2="","",COUNTIFS(NPI진행현황!$A$2:$A$300,$A2,NPI진행현황!$J$2:$J$300,"진행중")+COUNTIFS(NPI진행현황!$A$2:$A$300,$A2,NPI진행현황!$J$2:$J$300,"지연"))</f>
        <v>4</v>
      </c>
    </row>
    <row r="3" spans="1:15" ht="15" customHeight="1">
      <c r="A3" s="33" t="str">
        <f>IF(상품마스터!A3="","",상품마스터!A3)</f>
        <v>MAT-002</v>
      </c>
      <c r="B3" s="33" t="str">
        <f>IF($A3="","",상품마스터!B3)</f>
        <v>에어매트리스 B (커버 3분리)</v>
      </c>
      <c r="C3" s="33" t="str">
        <f>IF($A3="","",상품마스터!D3)</f>
        <v>기획</v>
      </c>
      <c r="D3" s="33">
        <f>IF($A3="","",COUNTIFS(NPI진행현황!$A$2:$A$300,$A3))</f>
        <v>0</v>
      </c>
      <c r="E3" s="35" t="str">
        <f>IF($A3="","",IFERROR(AVERAGEIFS(NPI진행현황!$G$2:$G$300,NPI진행현황!$A$2:$A$300,$A3),"-"))</f>
        <v>-</v>
      </c>
      <c r="F3" s="35" t="str">
        <f>IF($A3="","",IFERROR(AVERAGEIFS(NPI진행현황!$G$2:$G$300,NPI진행현황!$A$2:$A$300,$A3,NPI진행현황!$B$2:$B$300,"CV-*"),"-"))</f>
        <v>-</v>
      </c>
      <c r="G3" s="35" t="str">
        <f>IF($A3="","",IFERROR(AVERAGEIFS(NPI진행현황!$G$2:$G$300,NPI진행현황!$A$2:$A$300,$A3,NPI진행현황!$B$2:$B$300,"CT-*"),"-"))</f>
        <v>-</v>
      </c>
      <c r="H3" s="35" t="str">
        <f>IF($A3="","",IFERROR(AVERAGEIFS(NPI진행현황!$G$2:$G$300,NPI진행현황!$A$2:$A$300,$A3,NPI진행현황!$B$2:$B$300,"PK-*"),"-"))</f>
        <v>-</v>
      </c>
      <c r="I3" s="35" t="str">
        <f>IF($A3="","",IFERROR(AVERAGEIFS(NPI진행현황!$G$2:$G$300,NPI진행현황!$A$2:$A$300,$A3,NPI진행현황!$B$2:$B$300,"SW-*"),"-"))</f>
        <v>-</v>
      </c>
      <c r="J3" s="33">
        <f>IF($A3="","",COUNTIFS(NPI진행현황!$A$2:$A$300,$A3,NPI진행현황!$F$2:$F$300,"기획"))</f>
        <v>0</v>
      </c>
      <c r="K3" s="33">
        <f>IF($A3="","",COUNTIFS(NPI진행현황!$A$2:$A$300,$A3,NPI진행현황!$F$2:$F$300,"EVT"))</f>
        <v>0</v>
      </c>
      <c r="L3" s="33">
        <f>IF($A3="","",COUNTIFS(NPI진행현황!$A$2:$A$300,$A3,NPI진행현황!$F$2:$F$300,"DVT"))</f>
        <v>0</v>
      </c>
      <c r="M3" s="33">
        <f>IF($A3="","",COUNTIFS(NPI진행현황!$A$2:$A$300,$A3,NPI진행현황!$F$2:$F$300,"PVT"))</f>
        <v>0</v>
      </c>
      <c r="N3" s="33">
        <f>IF($A3="","",COUNTIFS(NPI진행현황!$A$2:$A$300,$A3,NPI진행현황!$F$2:$F$300,"MP(양산)"))</f>
        <v>0</v>
      </c>
      <c r="O3" s="33">
        <f>IF($A3="","",COUNTIFS(NPI진행현황!$A$2:$A$300,$A3,NPI진행현황!$J$2:$J$300,"진행중")+COUNTIFS(NPI진행현황!$A$2:$A$300,$A3,NPI진행현황!$J$2:$J$300,"지연"))</f>
        <v>0</v>
      </c>
    </row>
    <row r="4" spans="1:15" ht="15" customHeight="1">
      <c r="A4" s="33" t="str">
        <f>IF(상품마스터!A4="","",상품마스터!A4)</f>
        <v/>
      </c>
      <c r="B4" s="33" t="str">
        <f>IF($A4="","",상품마스터!B4)</f>
        <v/>
      </c>
      <c r="C4" s="33" t="str">
        <f>IF($A4="","",상품마스터!D4)</f>
        <v/>
      </c>
      <c r="D4" s="33" t="str">
        <f>IF($A4="","",COUNTIFS(NPI진행현황!$A$2:$A$300,$A4))</f>
        <v/>
      </c>
      <c r="E4" s="35" t="str">
        <f>IF($A4="","",IFERROR(AVERAGEIFS(NPI진행현황!$G$2:$G$300,NPI진행현황!$A$2:$A$300,$A4),"-"))</f>
        <v/>
      </c>
      <c r="F4" s="35" t="str">
        <f>IF($A4="","",IFERROR(AVERAGEIFS(NPI진행현황!$G$2:$G$300,NPI진행현황!$A$2:$A$300,$A4,NPI진행현황!$B$2:$B$300,"CV-*"),"-"))</f>
        <v/>
      </c>
      <c r="G4" s="35" t="str">
        <f>IF($A4="","",IFERROR(AVERAGEIFS(NPI진행현황!$G$2:$G$300,NPI진행현황!$A$2:$A$300,$A4,NPI진행현황!$B$2:$B$300,"CT-*"),"-"))</f>
        <v/>
      </c>
      <c r="H4" s="35" t="str">
        <f>IF($A4="","",IFERROR(AVERAGEIFS(NPI진행현황!$G$2:$G$300,NPI진행현황!$A$2:$A$300,$A4,NPI진행현황!$B$2:$B$300,"PK-*"),"-"))</f>
        <v/>
      </c>
      <c r="I4" s="35" t="str">
        <f>IF($A4="","",IFERROR(AVERAGEIFS(NPI진행현황!$G$2:$G$300,NPI진행현황!$A$2:$A$300,$A4,NPI진행현황!$B$2:$B$300,"SW-*"),"-"))</f>
        <v/>
      </c>
      <c r="J4" s="33" t="str">
        <f>IF($A4="","",COUNTIFS(NPI진행현황!$A$2:$A$300,$A4,NPI진행현황!$F$2:$F$300,"기획"))</f>
        <v/>
      </c>
      <c r="K4" s="33" t="str">
        <f>IF($A4="","",COUNTIFS(NPI진행현황!$A$2:$A$300,$A4,NPI진행현황!$F$2:$F$300,"EVT"))</f>
        <v/>
      </c>
      <c r="L4" s="33" t="str">
        <f>IF($A4="","",COUNTIFS(NPI진행현황!$A$2:$A$300,$A4,NPI진행현황!$F$2:$F$300,"DVT"))</f>
        <v/>
      </c>
      <c r="M4" s="33" t="str">
        <f>IF($A4="","",COUNTIFS(NPI진행현황!$A$2:$A$300,$A4,NPI진행현황!$F$2:$F$300,"PVT"))</f>
        <v/>
      </c>
      <c r="N4" s="33" t="str">
        <f>IF($A4="","",COUNTIFS(NPI진행현황!$A$2:$A$300,$A4,NPI진행현황!$F$2:$F$300,"MP(양산)"))</f>
        <v/>
      </c>
      <c r="O4" s="33" t="str">
        <f>IF($A4="","",COUNTIFS(NPI진행현황!$A$2:$A$300,$A4,NPI진행현황!$J$2:$J$300,"진행중")+COUNTIFS(NPI진행현황!$A$2:$A$300,$A4,NPI진행현황!$J$2:$J$300,"지연"))</f>
        <v/>
      </c>
    </row>
    <row r="5" spans="1:15" ht="15" customHeight="1">
      <c r="A5" s="33" t="str">
        <f>IF(상품마스터!A5="","",상품마스터!A5)</f>
        <v/>
      </c>
      <c r="B5" s="33" t="str">
        <f>IF($A5="","",상품마스터!B5)</f>
        <v/>
      </c>
      <c r="C5" s="33" t="str">
        <f>IF($A5="","",상품마스터!D5)</f>
        <v/>
      </c>
      <c r="D5" s="33" t="str">
        <f>IF($A5="","",COUNTIFS(NPI진행현황!$A$2:$A$300,$A5))</f>
        <v/>
      </c>
      <c r="E5" s="35" t="str">
        <f>IF($A5="","",IFERROR(AVERAGEIFS(NPI진행현황!$G$2:$G$300,NPI진행현황!$A$2:$A$300,$A5),"-"))</f>
        <v/>
      </c>
      <c r="F5" s="35" t="str">
        <f>IF($A5="","",IFERROR(AVERAGEIFS(NPI진행현황!$G$2:$G$300,NPI진행현황!$A$2:$A$300,$A5,NPI진행현황!$B$2:$B$300,"CV-*"),"-"))</f>
        <v/>
      </c>
      <c r="G5" s="35" t="str">
        <f>IF($A5="","",IFERROR(AVERAGEIFS(NPI진행현황!$G$2:$G$300,NPI진행현황!$A$2:$A$300,$A5,NPI진행현황!$B$2:$B$300,"CT-*"),"-"))</f>
        <v/>
      </c>
      <c r="H5" s="35" t="str">
        <f>IF($A5="","",IFERROR(AVERAGEIFS(NPI진행현황!$G$2:$G$300,NPI진행현황!$A$2:$A$300,$A5,NPI진행현황!$B$2:$B$300,"PK-*"),"-"))</f>
        <v/>
      </c>
      <c r="I5" s="35" t="str">
        <f>IF($A5="","",IFERROR(AVERAGEIFS(NPI진행현황!$G$2:$G$300,NPI진행현황!$A$2:$A$300,$A5,NPI진행현황!$B$2:$B$300,"SW-*"),"-"))</f>
        <v/>
      </c>
      <c r="J5" s="33" t="str">
        <f>IF($A5="","",COUNTIFS(NPI진행현황!$A$2:$A$300,$A5,NPI진행현황!$F$2:$F$300,"기획"))</f>
        <v/>
      </c>
      <c r="K5" s="33" t="str">
        <f>IF($A5="","",COUNTIFS(NPI진행현황!$A$2:$A$300,$A5,NPI진행현황!$F$2:$F$300,"EVT"))</f>
        <v/>
      </c>
      <c r="L5" s="33" t="str">
        <f>IF($A5="","",COUNTIFS(NPI진행현황!$A$2:$A$300,$A5,NPI진행현황!$F$2:$F$300,"DVT"))</f>
        <v/>
      </c>
      <c r="M5" s="33" t="str">
        <f>IF($A5="","",COUNTIFS(NPI진행현황!$A$2:$A$300,$A5,NPI진행현황!$F$2:$F$300,"PVT"))</f>
        <v/>
      </c>
      <c r="N5" s="33" t="str">
        <f>IF($A5="","",COUNTIFS(NPI진행현황!$A$2:$A$300,$A5,NPI진행현황!$F$2:$F$300,"MP(양산)"))</f>
        <v/>
      </c>
      <c r="O5" s="33" t="str">
        <f>IF($A5="","",COUNTIFS(NPI진행현황!$A$2:$A$300,$A5,NPI진행현황!$J$2:$J$300,"진행중")+COUNTIFS(NPI진행현황!$A$2:$A$300,$A5,NPI진행현황!$J$2:$J$300,"지연"))</f>
        <v/>
      </c>
    </row>
    <row r="6" spans="1:15" ht="15" customHeight="1">
      <c r="A6" s="33" t="str">
        <f>IF(상품마스터!A6="","",상품마스터!A6)</f>
        <v/>
      </c>
      <c r="B6" s="33" t="str">
        <f>IF($A6="","",상품마스터!B6)</f>
        <v/>
      </c>
      <c r="C6" s="33" t="str">
        <f>IF($A6="","",상품마스터!D6)</f>
        <v/>
      </c>
      <c r="D6" s="33" t="str">
        <f>IF($A6="","",COUNTIFS(NPI진행현황!$A$2:$A$300,$A6))</f>
        <v/>
      </c>
      <c r="E6" s="35" t="str">
        <f>IF($A6="","",IFERROR(AVERAGEIFS(NPI진행현황!$G$2:$G$300,NPI진행현황!$A$2:$A$300,$A6),"-"))</f>
        <v/>
      </c>
      <c r="F6" s="35" t="str">
        <f>IF($A6="","",IFERROR(AVERAGEIFS(NPI진행현황!$G$2:$G$300,NPI진행현황!$A$2:$A$300,$A6,NPI진행현황!$B$2:$B$300,"CV-*"),"-"))</f>
        <v/>
      </c>
      <c r="G6" s="35" t="str">
        <f>IF($A6="","",IFERROR(AVERAGEIFS(NPI진행현황!$G$2:$G$300,NPI진행현황!$A$2:$A$300,$A6,NPI진행현황!$B$2:$B$300,"CT-*"),"-"))</f>
        <v/>
      </c>
      <c r="H6" s="35" t="str">
        <f>IF($A6="","",IFERROR(AVERAGEIFS(NPI진행현황!$G$2:$G$300,NPI진행현황!$A$2:$A$300,$A6,NPI진행현황!$B$2:$B$300,"PK-*"),"-"))</f>
        <v/>
      </c>
      <c r="I6" s="35" t="str">
        <f>IF($A6="","",IFERROR(AVERAGEIFS(NPI진행현황!$G$2:$G$300,NPI진행현황!$A$2:$A$300,$A6,NPI진행현황!$B$2:$B$300,"SW-*"),"-"))</f>
        <v/>
      </c>
      <c r="J6" s="33" t="str">
        <f>IF($A6="","",COUNTIFS(NPI진행현황!$A$2:$A$300,$A6,NPI진행현황!$F$2:$F$300,"기획"))</f>
        <v/>
      </c>
      <c r="K6" s="33" t="str">
        <f>IF($A6="","",COUNTIFS(NPI진행현황!$A$2:$A$300,$A6,NPI진행현황!$F$2:$F$300,"EVT"))</f>
        <v/>
      </c>
      <c r="L6" s="33" t="str">
        <f>IF($A6="","",COUNTIFS(NPI진행현황!$A$2:$A$300,$A6,NPI진행현황!$F$2:$F$300,"DVT"))</f>
        <v/>
      </c>
      <c r="M6" s="33" t="str">
        <f>IF($A6="","",COUNTIFS(NPI진행현황!$A$2:$A$300,$A6,NPI진행현황!$F$2:$F$300,"PVT"))</f>
        <v/>
      </c>
      <c r="N6" s="33" t="str">
        <f>IF($A6="","",COUNTIFS(NPI진행현황!$A$2:$A$300,$A6,NPI진행현황!$F$2:$F$300,"MP(양산)"))</f>
        <v/>
      </c>
      <c r="O6" s="33" t="str">
        <f>IF($A6="","",COUNTIFS(NPI진행현황!$A$2:$A$300,$A6,NPI진행현황!$J$2:$J$300,"진행중")+COUNTIFS(NPI진행현황!$A$2:$A$300,$A6,NPI진행현황!$J$2:$J$300,"지연"))</f>
        <v/>
      </c>
    </row>
    <row r="7" spans="1:15" ht="15" customHeight="1">
      <c r="A7" s="33" t="str">
        <f>IF(상품마스터!A7="","",상품마스터!A7)</f>
        <v/>
      </c>
      <c r="B7" s="33" t="str">
        <f>IF($A7="","",상품마스터!B7)</f>
        <v/>
      </c>
      <c r="C7" s="33" t="str">
        <f>IF($A7="","",상품마스터!D7)</f>
        <v/>
      </c>
      <c r="D7" s="33" t="str">
        <f>IF($A7="","",COUNTIFS(NPI진행현황!$A$2:$A$300,$A7))</f>
        <v/>
      </c>
      <c r="E7" s="35" t="str">
        <f>IF($A7="","",IFERROR(AVERAGEIFS(NPI진행현황!$G$2:$G$300,NPI진행현황!$A$2:$A$300,$A7),"-"))</f>
        <v/>
      </c>
      <c r="F7" s="35" t="str">
        <f>IF($A7="","",IFERROR(AVERAGEIFS(NPI진행현황!$G$2:$G$300,NPI진행현황!$A$2:$A$300,$A7,NPI진행현황!$B$2:$B$300,"CV-*"),"-"))</f>
        <v/>
      </c>
      <c r="G7" s="35" t="str">
        <f>IF($A7="","",IFERROR(AVERAGEIFS(NPI진행현황!$G$2:$G$300,NPI진행현황!$A$2:$A$300,$A7,NPI진행현황!$B$2:$B$300,"CT-*"),"-"))</f>
        <v/>
      </c>
      <c r="H7" s="35" t="str">
        <f>IF($A7="","",IFERROR(AVERAGEIFS(NPI진행현황!$G$2:$G$300,NPI진행현황!$A$2:$A$300,$A7,NPI진행현황!$B$2:$B$300,"PK-*"),"-"))</f>
        <v/>
      </c>
      <c r="I7" s="35" t="str">
        <f>IF($A7="","",IFERROR(AVERAGEIFS(NPI진행현황!$G$2:$G$300,NPI진행현황!$A$2:$A$300,$A7,NPI진행현황!$B$2:$B$300,"SW-*"),"-"))</f>
        <v/>
      </c>
      <c r="J7" s="33" t="str">
        <f>IF($A7="","",COUNTIFS(NPI진행현황!$A$2:$A$300,$A7,NPI진행현황!$F$2:$F$300,"기획"))</f>
        <v/>
      </c>
      <c r="K7" s="33" t="str">
        <f>IF($A7="","",COUNTIFS(NPI진행현황!$A$2:$A$300,$A7,NPI진행현황!$F$2:$F$300,"EVT"))</f>
        <v/>
      </c>
      <c r="L7" s="33" t="str">
        <f>IF($A7="","",COUNTIFS(NPI진행현황!$A$2:$A$300,$A7,NPI진행현황!$F$2:$F$300,"DVT"))</f>
        <v/>
      </c>
      <c r="M7" s="33" t="str">
        <f>IF($A7="","",COUNTIFS(NPI진행현황!$A$2:$A$300,$A7,NPI진행현황!$F$2:$F$300,"PVT"))</f>
        <v/>
      </c>
      <c r="N7" s="33" t="str">
        <f>IF($A7="","",COUNTIFS(NPI진행현황!$A$2:$A$300,$A7,NPI진행현황!$F$2:$F$300,"MP(양산)"))</f>
        <v/>
      </c>
      <c r="O7" s="33" t="str">
        <f>IF($A7="","",COUNTIFS(NPI진행현황!$A$2:$A$300,$A7,NPI진행현황!$J$2:$J$300,"진행중")+COUNTIFS(NPI진행현황!$A$2:$A$300,$A7,NPI진행현황!$J$2:$J$300,"지연"))</f>
        <v/>
      </c>
    </row>
    <row r="8" spans="1:15" ht="15" customHeight="1">
      <c r="A8" s="33" t="str">
        <f>IF(상품마스터!A8="","",상품마스터!A8)</f>
        <v/>
      </c>
      <c r="B8" s="33" t="str">
        <f>IF($A8="","",상품마스터!B8)</f>
        <v/>
      </c>
      <c r="C8" s="33" t="str">
        <f>IF($A8="","",상품마스터!D8)</f>
        <v/>
      </c>
      <c r="D8" s="33" t="str">
        <f>IF($A8="","",COUNTIFS(NPI진행현황!$A$2:$A$300,$A8))</f>
        <v/>
      </c>
      <c r="E8" s="35" t="str">
        <f>IF($A8="","",IFERROR(AVERAGEIFS(NPI진행현황!$G$2:$G$300,NPI진행현황!$A$2:$A$300,$A8),"-"))</f>
        <v/>
      </c>
      <c r="F8" s="35" t="str">
        <f>IF($A8="","",IFERROR(AVERAGEIFS(NPI진행현황!$G$2:$G$300,NPI진행현황!$A$2:$A$300,$A8,NPI진행현황!$B$2:$B$300,"CV-*"),"-"))</f>
        <v/>
      </c>
      <c r="G8" s="35" t="str">
        <f>IF($A8="","",IFERROR(AVERAGEIFS(NPI진행현황!$G$2:$G$300,NPI진행현황!$A$2:$A$300,$A8,NPI진행현황!$B$2:$B$300,"CT-*"),"-"))</f>
        <v/>
      </c>
      <c r="H8" s="35" t="str">
        <f>IF($A8="","",IFERROR(AVERAGEIFS(NPI진행현황!$G$2:$G$300,NPI진행현황!$A$2:$A$300,$A8,NPI진행현황!$B$2:$B$300,"PK-*"),"-"))</f>
        <v/>
      </c>
      <c r="I8" s="35" t="str">
        <f>IF($A8="","",IFERROR(AVERAGEIFS(NPI진행현황!$G$2:$G$300,NPI진행현황!$A$2:$A$300,$A8,NPI진행현황!$B$2:$B$300,"SW-*"),"-"))</f>
        <v/>
      </c>
      <c r="J8" s="33" t="str">
        <f>IF($A8="","",COUNTIFS(NPI진행현황!$A$2:$A$300,$A8,NPI진행현황!$F$2:$F$300,"기획"))</f>
        <v/>
      </c>
      <c r="K8" s="33" t="str">
        <f>IF($A8="","",COUNTIFS(NPI진행현황!$A$2:$A$300,$A8,NPI진행현황!$F$2:$F$300,"EVT"))</f>
        <v/>
      </c>
      <c r="L8" s="33" t="str">
        <f>IF($A8="","",COUNTIFS(NPI진행현황!$A$2:$A$300,$A8,NPI진행현황!$F$2:$F$300,"DVT"))</f>
        <v/>
      </c>
      <c r="M8" s="33" t="str">
        <f>IF($A8="","",COUNTIFS(NPI진행현황!$A$2:$A$300,$A8,NPI진행현황!$F$2:$F$300,"PVT"))</f>
        <v/>
      </c>
      <c r="N8" s="33" t="str">
        <f>IF($A8="","",COUNTIFS(NPI진행현황!$A$2:$A$300,$A8,NPI진행현황!$F$2:$F$300,"MP(양산)"))</f>
        <v/>
      </c>
      <c r="O8" s="33" t="str">
        <f>IF($A8="","",COUNTIFS(NPI진행현황!$A$2:$A$300,$A8,NPI진행현황!$J$2:$J$300,"진행중")+COUNTIFS(NPI진행현황!$A$2:$A$300,$A8,NPI진행현황!$J$2:$J$300,"지연"))</f>
        <v/>
      </c>
    </row>
    <row r="9" spans="1:15" ht="15" customHeight="1">
      <c r="A9" s="33" t="str">
        <f>IF(상품마스터!A9="","",상품마스터!A9)</f>
        <v/>
      </c>
      <c r="B9" s="33" t="str">
        <f>IF($A9="","",상품마스터!B9)</f>
        <v/>
      </c>
      <c r="C9" s="33" t="str">
        <f>IF($A9="","",상품마스터!D9)</f>
        <v/>
      </c>
      <c r="D9" s="33" t="str">
        <f>IF($A9="","",COUNTIFS(NPI진행현황!$A$2:$A$300,$A9))</f>
        <v/>
      </c>
      <c r="E9" s="35" t="str">
        <f>IF($A9="","",IFERROR(AVERAGEIFS(NPI진행현황!$G$2:$G$300,NPI진행현황!$A$2:$A$300,$A9),"-"))</f>
        <v/>
      </c>
      <c r="F9" s="35" t="str">
        <f>IF($A9="","",IFERROR(AVERAGEIFS(NPI진행현황!$G$2:$G$300,NPI진행현황!$A$2:$A$300,$A9,NPI진행현황!$B$2:$B$300,"CV-*"),"-"))</f>
        <v/>
      </c>
      <c r="G9" s="35" t="str">
        <f>IF($A9="","",IFERROR(AVERAGEIFS(NPI진행현황!$G$2:$G$300,NPI진행현황!$A$2:$A$300,$A9,NPI진행현황!$B$2:$B$300,"CT-*"),"-"))</f>
        <v/>
      </c>
      <c r="H9" s="35" t="str">
        <f>IF($A9="","",IFERROR(AVERAGEIFS(NPI진행현황!$G$2:$G$300,NPI진행현황!$A$2:$A$300,$A9,NPI진행현황!$B$2:$B$300,"PK-*"),"-"))</f>
        <v/>
      </c>
      <c r="I9" s="35" t="str">
        <f>IF($A9="","",IFERROR(AVERAGEIFS(NPI진행현황!$G$2:$G$300,NPI진행현황!$A$2:$A$300,$A9,NPI진행현황!$B$2:$B$300,"SW-*"),"-"))</f>
        <v/>
      </c>
      <c r="J9" s="33" t="str">
        <f>IF($A9="","",COUNTIFS(NPI진행현황!$A$2:$A$300,$A9,NPI진행현황!$F$2:$F$300,"기획"))</f>
        <v/>
      </c>
      <c r="K9" s="33" t="str">
        <f>IF($A9="","",COUNTIFS(NPI진행현황!$A$2:$A$300,$A9,NPI진행현황!$F$2:$F$300,"EVT"))</f>
        <v/>
      </c>
      <c r="L9" s="33" t="str">
        <f>IF($A9="","",COUNTIFS(NPI진행현황!$A$2:$A$300,$A9,NPI진행현황!$F$2:$F$300,"DVT"))</f>
        <v/>
      </c>
      <c r="M9" s="33" t="str">
        <f>IF($A9="","",COUNTIFS(NPI진행현황!$A$2:$A$300,$A9,NPI진행현황!$F$2:$F$300,"PVT"))</f>
        <v/>
      </c>
      <c r="N9" s="33" t="str">
        <f>IF($A9="","",COUNTIFS(NPI진행현황!$A$2:$A$300,$A9,NPI진행현황!$F$2:$F$300,"MP(양산)"))</f>
        <v/>
      </c>
      <c r="O9" s="33" t="str">
        <f>IF($A9="","",COUNTIFS(NPI진행현황!$A$2:$A$300,$A9,NPI진행현황!$J$2:$J$300,"진행중")+COUNTIFS(NPI진행현황!$A$2:$A$300,$A9,NPI진행현황!$J$2:$J$300,"지연"))</f>
        <v/>
      </c>
    </row>
    <row r="10" spans="1:15" ht="15" customHeight="1">
      <c r="A10" s="33" t="str">
        <f>IF(상품마스터!A10="","",상품마스터!A10)</f>
        <v/>
      </c>
      <c r="B10" s="33" t="str">
        <f>IF($A10="","",상품마스터!B10)</f>
        <v/>
      </c>
      <c r="C10" s="33" t="str">
        <f>IF($A10="","",상품마스터!D10)</f>
        <v/>
      </c>
      <c r="D10" s="33" t="str">
        <f>IF($A10="","",COUNTIFS(NPI진행현황!$A$2:$A$300,$A10))</f>
        <v/>
      </c>
      <c r="E10" s="35" t="str">
        <f>IF($A10="","",IFERROR(AVERAGEIFS(NPI진행현황!$G$2:$G$300,NPI진행현황!$A$2:$A$300,$A10),"-"))</f>
        <v/>
      </c>
      <c r="F10" s="35" t="str">
        <f>IF($A10="","",IFERROR(AVERAGEIFS(NPI진행현황!$G$2:$G$300,NPI진행현황!$A$2:$A$300,$A10,NPI진행현황!$B$2:$B$300,"CV-*"),"-"))</f>
        <v/>
      </c>
      <c r="G10" s="35" t="str">
        <f>IF($A10="","",IFERROR(AVERAGEIFS(NPI진행현황!$G$2:$G$300,NPI진행현황!$A$2:$A$300,$A10,NPI진행현황!$B$2:$B$300,"CT-*"),"-"))</f>
        <v/>
      </c>
      <c r="H10" s="35" t="str">
        <f>IF($A10="","",IFERROR(AVERAGEIFS(NPI진행현황!$G$2:$G$300,NPI진행현황!$A$2:$A$300,$A10,NPI진행현황!$B$2:$B$300,"PK-*"),"-"))</f>
        <v/>
      </c>
      <c r="I10" s="35" t="str">
        <f>IF($A10="","",IFERROR(AVERAGEIFS(NPI진행현황!$G$2:$G$300,NPI진행현황!$A$2:$A$300,$A10,NPI진행현황!$B$2:$B$300,"SW-*"),"-"))</f>
        <v/>
      </c>
      <c r="J10" s="33" t="str">
        <f>IF($A10="","",COUNTIFS(NPI진행현황!$A$2:$A$300,$A10,NPI진행현황!$F$2:$F$300,"기획"))</f>
        <v/>
      </c>
      <c r="K10" s="33" t="str">
        <f>IF($A10="","",COUNTIFS(NPI진행현황!$A$2:$A$300,$A10,NPI진행현황!$F$2:$F$300,"EVT"))</f>
        <v/>
      </c>
      <c r="L10" s="33" t="str">
        <f>IF($A10="","",COUNTIFS(NPI진행현황!$A$2:$A$300,$A10,NPI진행현황!$F$2:$F$300,"DVT"))</f>
        <v/>
      </c>
      <c r="M10" s="33" t="str">
        <f>IF($A10="","",COUNTIFS(NPI진행현황!$A$2:$A$300,$A10,NPI진행현황!$F$2:$F$300,"PVT"))</f>
        <v/>
      </c>
      <c r="N10" s="33" t="str">
        <f>IF($A10="","",COUNTIFS(NPI진행현황!$A$2:$A$300,$A10,NPI진행현황!$F$2:$F$300,"MP(양산)"))</f>
        <v/>
      </c>
      <c r="O10" s="33" t="str">
        <f>IF($A10="","",COUNTIFS(NPI진행현황!$A$2:$A$300,$A10,NPI진행현황!$J$2:$J$300,"진행중")+COUNTIFS(NPI진행현황!$A$2:$A$300,$A10,NPI진행현황!$J$2:$J$300,"지연"))</f>
        <v/>
      </c>
    </row>
    <row r="11" spans="1:15" ht="15" customHeight="1">
      <c r="A11" s="33" t="str">
        <f>IF(상품마스터!A11="","",상품마스터!A11)</f>
        <v/>
      </c>
      <c r="B11" s="33" t="str">
        <f>IF($A11="","",상품마스터!B11)</f>
        <v/>
      </c>
      <c r="C11" s="33" t="str">
        <f>IF($A11="","",상품마스터!D11)</f>
        <v/>
      </c>
      <c r="D11" s="33" t="str">
        <f>IF($A11="","",COUNTIFS(NPI진행현황!$A$2:$A$300,$A11))</f>
        <v/>
      </c>
      <c r="E11" s="35" t="str">
        <f>IF($A11="","",IFERROR(AVERAGEIFS(NPI진행현황!$G$2:$G$300,NPI진행현황!$A$2:$A$300,$A11),"-"))</f>
        <v/>
      </c>
      <c r="F11" s="35" t="str">
        <f>IF($A11="","",IFERROR(AVERAGEIFS(NPI진행현황!$G$2:$G$300,NPI진행현황!$A$2:$A$300,$A11,NPI진행현황!$B$2:$B$300,"CV-*"),"-"))</f>
        <v/>
      </c>
      <c r="G11" s="35" t="str">
        <f>IF($A11="","",IFERROR(AVERAGEIFS(NPI진행현황!$G$2:$G$300,NPI진행현황!$A$2:$A$300,$A11,NPI진행현황!$B$2:$B$300,"CT-*"),"-"))</f>
        <v/>
      </c>
      <c r="H11" s="35" t="str">
        <f>IF($A11="","",IFERROR(AVERAGEIFS(NPI진행현황!$G$2:$G$300,NPI진행현황!$A$2:$A$300,$A11,NPI진행현황!$B$2:$B$300,"PK-*"),"-"))</f>
        <v/>
      </c>
      <c r="I11" s="35" t="str">
        <f>IF($A11="","",IFERROR(AVERAGEIFS(NPI진행현황!$G$2:$G$300,NPI진행현황!$A$2:$A$300,$A11,NPI진행현황!$B$2:$B$300,"SW-*"),"-"))</f>
        <v/>
      </c>
      <c r="J11" s="33" t="str">
        <f>IF($A11="","",COUNTIFS(NPI진행현황!$A$2:$A$300,$A11,NPI진행현황!$F$2:$F$300,"기획"))</f>
        <v/>
      </c>
      <c r="K11" s="33" t="str">
        <f>IF($A11="","",COUNTIFS(NPI진행현황!$A$2:$A$300,$A11,NPI진행현황!$F$2:$F$300,"EVT"))</f>
        <v/>
      </c>
      <c r="L11" s="33" t="str">
        <f>IF($A11="","",COUNTIFS(NPI진행현황!$A$2:$A$300,$A11,NPI진행현황!$F$2:$F$300,"DVT"))</f>
        <v/>
      </c>
      <c r="M11" s="33" t="str">
        <f>IF($A11="","",COUNTIFS(NPI진행현황!$A$2:$A$300,$A11,NPI진행현황!$F$2:$F$300,"PVT"))</f>
        <v/>
      </c>
      <c r="N11" s="33" t="str">
        <f>IF($A11="","",COUNTIFS(NPI진행현황!$A$2:$A$300,$A11,NPI진행현황!$F$2:$F$300,"MP(양산)"))</f>
        <v/>
      </c>
      <c r="O11" s="33" t="str">
        <f>IF($A11="","",COUNTIFS(NPI진행현황!$A$2:$A$300,$A11,NPI진행현황!$J$2:$J$300,"진행중")+COUNTIFS(NPI진행현황!$A$2:$A$300,$A11,NPI진행현황!$J$2:$J$300,"지연"))</f>
        <v/>
      </c>
    </row>
    <row r="12" spans="1:15" ht="15" customHeight="1">
      <c r="A12" s="33" t="str">
        <f>IF(상품마스터!A12="","",상품마스터!A12)</f>
        <v/>
      </c>
      <c r="B12" s="33" t="str">
        <f>IF($A12="","",상품마스터!B12)</f>
        <v/>
      </c>
      <c r="C12" s="33" t="str">
        <f>IF($A12="","",상품마스터!D12)</f>
        <v/>
      </c>
      <c r="D12" s="33" t="str">
        <f>IF($A12="","",COUNTIFS(NPI진행현황!$A$2:$A$300,$A12))</f>
        <v/>
      </c>
      <c r="E12" s="35" t="str">
        <f>IF($A12="","",IFERROR(AVERAGEIFS(NPI진행현황!$G$2:$G$300,NPI진행현황!$A$2:$A$300,$A12),"-"))</f>
        <v/>
      </c>
      <c r="F12" s="35" t="str">
        <f>IF($A12="","",IFERROR(AVERAGEIFS(NPI진행현황!$G$2:$G$300,NPI진행현황!$A$2:$A$300,$A12,NPI진행현황!$B$2:$B$300,"CV-*"),"-"))</f>
        <v/>
      </c>
      <c r="G12" s="35" t="str">
        <f>IF($A12="","",IFERROR(AVERAGEIFS(NPI진행현황!$G$2:$G$300,NPI진행현황!$A$2:$A$300,$A12,NPI진행현황!$B$2:$B$300,"CT-*"),"-"))</f>
        <v/>
      </c>
      <c r="H12" s="35" t="str">
        <f>IF($A12="","",IFERROR(AVERAGEIFS(NPI진행현황!$G$2:$G$300,NPI진행현황!$A$2:$A$300,$A12,NPI진행현황!$B$2:$B$300,"PK-*"),"-"))</f>
        <v/>
      </c>
      <c r="I12" s="35" t="str">
        <f>IF($A12="","",IFERROR(AVERAGEIFS(NPI진행현황!$G$2:$G$300,NPI진행현황!$A$2:$A$300,$A12,NPI진행현황!$B$2:$B$300,"SW-*"),"-"))</f>
        <v/>
      </c>
      <c r="J12" s="33" t="str">
        <f>IF($A12="","",COUNTIFS(NPI진행현황!$A$2:$A$300,$A12,NPI진행현황!$F$2:$F$300,"기획"))</f>
        <v/>
      </c>
      <c r="K12" s="33" t="str">
        <f>IF($A12="","",COUNTIFS(NPI진행현황!$A$2:$A$300,$A12,NPI진행현황!$F$2:$F$300,"EVT"))</f>
        <v/>
      </c>
      <c r="L12" s="33" t="str">
        <f>IF($A12="","",COUNTIFS(NPI진행현황!$A$2:$A$300,$A12,NPI진행현황!$F$2:$F$300,"DVT"))</f>
        <v/>
      </c>
      <c r="M12" s="33" t="str">
        <f>IF($A12="","",COUNTIFS(NPI진행현황!$A$2:$A$300,$A12,NPI진행현황!$F$2:$F$300,"PVT"))</f>
        <v/>
      </c>
      <c r="N12" s="33" t="str">
        <f>IF($A12="","",COUNTIFS(NPI진행현황!$A$2:$A$300,$A12,NPI진행현황!$F$2:$F$300,"MP(양산)"))</f>
        <v/>
      </c>
      <c r="O12" s="33" t="str">
        <f>IF($A12="","",COUNTIFS(NPI진행현황!$A$2:$A$300,$A12,NPI진행현황!$J$2:$J$300,"진행중")+COUNTIFS(NPI진행현황!$A$2:$A$300,$A12,NPI진행현황!$J$2:$J$300,"지연"))</f>
        <v/>
      </c>
    </row>
    <row r="13" spans="1:15" ht="15" customHeight="1">
      <c r="A13" s="33" t="str">
        <f>IF(상품마스터!A13="","",상품마스터!A13)</f>
        <v/>
      </c>
      <c r="B13" s="33" t="str">
        <f>IF($A13="","",상품마스터!B13)</f>
        <v/>
      </c>
      <c r="C13" s="33" t="str">
        <f>IF($A13="","",상품마스터!D13)</f>
        <v/>
      </c>
      <c r="D13" s="33" t="str">
        <f>IF($A13="","",COUNTIFS(NPI진행현황!$A$2:$A$300,$A13))</f>
        <v/>
      </c>
      <c r="E13" s="35" t="str">
        <f>IF($A13="","",IFERROR(AVERAGEIFS(NPI진행현황!$G$2:$G$300,NPI진행현황!$A$2:$A$300,$A13),"-"))</f>
        <v/>
      </c>
      <c r="F13" s="35" t="str">
        <f>IF($A13="","",IFERROR(AVERAGEIFS(NPI진행현황!$G$2:$G$300,NPI진행현황!$A$2:$A$300,$A13,NPI진행현황!$B$2:$B$300,"CV-*"),"-"))</f>
        <v/>
      </c>
      <c r="G13" s="35" t="str">
        <f>IF($A13="","",IFERROR(AVERAGEIFS(NPI진행현황!$G$2:$G$300,NPI진행현황!$A$2:$A$300,$A13,NPI진행현황!$B$2:$B$300,"CT-*"),"-"))</f>
        <v/>
      </c>
      <c r="H13" s="35" t="str">
        <f>IF($A13="","",IFERROR(AVERAGEIFS(NPI진행현황!$G$2:$G$300,NPI진행현황!$A$2:$A$300,$A13,NPI진행현황!$B$2:$B$300,"PK-*"),"-"))</f>
        <v/>
      </c>
      <c r="I13" s="35" t="str">
        <f>IF($A13="","",IFERROR(AVERAGEIFS(NPI진행현황!$G$2:$G$300,NPI진행현황!$A$2:$A$300,$A13,NPI진행현황!$B$2:$B$300,"SW-*"),"-"))</f>
        <v/>
      </c>
      <c r="J13" s="33" t="str">
        <f>IF($A13="","",COUNTIFS(NPI진행현황!$A$2:$A$300,$A13,NPI진행현황!$F$2:$F$300,"기획"))</f>
        <v/>
      </c>
      <c r="K13" s="33" t="str">
        <f>IF($A13="","",COUNTIFS(NPI진행현황!$A$2:$A$300,$A13,NPI진행현황!$F$2:$F$300,"EVT"))</f>
        <v/>
      </c>
      <c r="L13" s="33" t="str">
        <f>IF($A13="","",COUNTIFS(NPI진행현황!$A$2:$A$300,$A13,NPI진행현황!$F$2:$F$300,"DVT"))</f>
        <v/>
      </c>
      <c r="M13" s="33" t="str">
        <f>IF($A13="","",COUNTIFS(NPI진행현황!$A$2:$A$300,$A13,NPI진행현황!$F$2:$F$300,"PVT"))</f>
        <v/>
      </c>
      <c r="N13" s="33" t="str">
        <f>IF($A13="","",COUNTIFS(NPI진행현황!$A$2:$A$300,$A13,NPI진행현황!$F$2:$F$300,"MP(양산)"))</f>
        <v/>
      </c>
      <c r="O13" s="33" t="str">
        <f>IF($A13="","",COUNTIFS(NPI진행현황!$A$2:$A$300,$A13,NPI진행현황!$J$2:$J$300,"진행중")+COUNTIFS(NPI진행현황!$A$2:$A$300,$A13,NPI진행현황!$J$2:$J$300,"지연"))</f>
        <v/>
      </c>
    </row>
    <row r="14" spans="1:15" ht="15" customHeight="1">
      <c r="A14" s="33" t="str">
        <f>IF(상품마스터!A14="","",상품마스터!A14)</f>
        <v/>
      </c>
      <c r="B14" s="33" t="str">
        <f>IF($A14="","",상품마스터!B14)</f>
        <v/>
      </c>
      <c r="C14" s="33" t="str">
        <f>IF($A14="","",상품마스터!D14)</f>
        <v/>
      </c>
      <c r="D14" s="33" t="str">
        <f>IF($A14="","",COUNTIFS(NPI진행현황!$A$2:$A$300,$A14))</f>
        <v/>
      </c>
      <c r="E14" s="35" t="str">
        <f>IF($A14="","",IFERROR(AVERAGEIFS(NPI진행현황!$G$2:$G$300,NPI진행현황!$A$2:$A$300,$A14),"-"))</f>
        <v/>
      </c>
      <c r="F14" s="35" t="str">
        <f>IF($A14="","",IFERROR(AVERAGEIFS(NPI진행현황!$G$2:$G$300,NPI진행현황!$A$2:$A$300,$A14,NPI진행현황!$B$2:$B$300,"CV-*"),"-"))</f>
        <v/>
      </c>
      <c r="G14" s="35" t="str">
        <f>IF($A14="","",IFERROR(AVERAGEIFS(NPI진행현황!$G$2:$G$300,NPI진행현황!$A$2:$A$300,$A14,NPI진행현황!$B$2:$B$300,"CT-*"),"-"))</f>
        <v/>
      </c>
      <c r="H14" s="35" t="str">
        <f>IF($A14="","",IFERROR(AVERAGEIFS(NPI진행현황!$G$2:$G$300,NPI진행현황!$A$2:$A$300,$A14,NPI진행현황!$B$2:$B$300,"PK-*"),"-"))</f>
        <v/>
      </c>
      <c r="I14" s="35" t="str">
        <f>IF($A14="","",IFERROR(AVERAGEIFS(NPI진행현황!$G$2:$G$300,NPI진행현황!$A$2:$A$300,$A14,NPI진행현황!$B$2:$B$300,"SW-*"),"-"))</f>
        <v/>
      </c>
      <c r="J14" s="33" t="str">
        <f>IF($A14="","",COUNTIFS(NPI진행현황!$A$2:$A$300,$A14,NPI진행현황!$F$2:$F$300,"기획"))</f>
        <v/>
      </c>
      <c r="K14" s="33" t="str">
        <f>IF($A14="","",COUNTIFS(NPI진행현황!$A$2:$A$300,$A14,NPI진행현황!$F$2:$F$300,"EVT"))</f>
        <v/>
      </c>
      <c r="L14" s="33" t="str">
        <f>IF($A14="","",COUNTIFS(NPI진행현황!$A$2:$A$300,$A14,NPI진행현황!$F$2:$F$300,"DVT"))</f>
        <v/>
      </c>
      <c r="M14" s="33" t="str">
        <f>IF($A14="","",COUNTIFS(NPI진행현황!$A$2:$A$300,$A14,NPI진행현황!$F$2:$F$300,"PVT"))</f>
        <v/>
      </c>
      <c r="N14" s="33" t="str">
        <f>IF($A14="","",COUNTIFS(NPI진행현황!$A$2:$A$300,$A14,NPI진행현황!$F$2:$F$300,"MP(양산)"))</f>
        <v/>
      </c>
      <c r="O14" s="33" t="str">
        <f>IF($A14="","",COUNTIFS(NPI진행현황!$A$2:$A$300,$A14,NPI진행현황!$J$2:$J$300,"진행중")+COUNTIFS(NPI진행현황!$A$2:$A$300,$A14,NPI진행현황!$J$2:$J$300,"지연"))</f>
        <v/>
      </c>
    </row>
    <row r="15" spans="1:15" ht="15" customHeight="1">
      <c r="A15" s="33" t="str">
        <f>IF(상품마스터!A15="","",상품마스터!A15)</f>
        <v/>
      </c>
      <c r="B15" s="33" t="str">
        <f>IF($A15="","",상품마스터!B15)</f>
        <v/>
      </c>
      <c r="C15" s="33" t="str">
        <f>IF($A15="","",상품마스터!D15)</f>
        <v/>
      </c>
      <c r="D15" s="33" t="str">
        <f>IF($A15="","",COUNTIFS(NPI진행현황!$A$2:$A$300,$A15))</f>
        <v/>
      </c>
      <c r="E15" s="35" t="str">
        <f>IF($A15="","",IFERROR(AVERAGEIFS(NPI진행현황!$G$2:$G$300,NPI진행현황!$A$2:$A$300,$A15),"-"))</f>
        <v/>
      </c>
      <c r="F15" s="35" t="str">
        <f>IF($A15="","",IFERROR(AVERAGEIFS(NPI진행현황!$G$2:$G$300,NPI진행현황!$A$2:$A$300,$A15,NPI진행현황!$B$2:$B$300,"CV-*"),"-"))</f>
        <v/>
      </c>
      <c r="G15" s="35" t="str">
        <f>IF($A15="","",IFERROR(AVERAGEIFS(NPI진행현황!$G$2:$G$300,NPI진행현황!$A$2:$A$300,$A15,NPI진행현황!$B$2:$B$300,"CT-*"),"-"))</f>
        <v/>
      </c>
      <c r="H15" s="35" t="str">
        <f>IF($A15="","",IFERROR(AVERAGEIFS(NPI진행현황!$G$2:$G$300,NPI진행현황!$A$2:$A$300,$A15,NPI진행현황!$B$2:$B$300,"PK-*"),"-"))</f>
        <v/>
      </c>
      <c r="I15" s="35" t="str">
        <f>IF($A15="","",IFERROR(AVERAGEIFS(NPI진행현황!$G$2:$G$300,NPI진행현황!$A$2:$A$300,$A15,NPI진행현황!$B$2:$B$300,"SW-*"),"-"))</f>
        <v/>
      </c>
      <c r="J15" s="33" t="str">
        <f>IF($A15="","",COUNTIFS(NPI진행현황!$A$2:$A$300,$A15,NPI진행현황!$F$2:$F$300,"기획"))</f>
        <v/>
      </c>
      <c r="K15" s="33" t="str">
        <f>IF($A15="","",COUNTIFS(NPI진행현황!$A$2:$A$300,$A15,NPI진행현황!$F$2:$F$300,"EVT"))</f>
        <v/>
      </c>
      <c r="L15" s="33" t="str">
        <f>IF($A15="","",COUNTIFS(NPI진행현황!$A$2:$A$300,$A15,NPI진행현황!$F$2:$F$300,"DVT"))</f>
        <v/>
      </c>
      <c r="M15" s="33" t="str">
        <f>IF($A15="","",COUNTIFS(NPI진행현황!$A$2:$A$300,$A15,NPI진행현황!$F$2:$F$300,"PVT"))</f>
        <v/>
      </c>
      <c r="N15" s="33" t="str">
        <f>IF($A15="","",COUNTIFS(NPI진행현황!$A$2:$A$300,$A15,NPI진행현황!$F$2:$F$300,"MP(양산)"))</f>
        <v/>
      </c>
      <c r="O15" s="33" t="str">
        <f>IF($A15="","",COUNTIFS(NPI진행현황!$A$2:$A$300,$A15,NPI진행현황!$J$2:$J$300,"진행중")+COUNTIFS(NPI진행현황!$A$2:$A$300,$A15,NPI진행현황!$J$2:$J$300,"지연"))</f>
        <v/>
      </c>
    </row>
    <row r="16" spans="1:15" ht="15" customHeight="1">
      <c r="A16" s="33" t="str">
        <f>IF(상품마스터!A16="","",상품마스터!A16)</f>
        <v/>
      </c>
      <c r="B16" s="33" t="str">
        <f>IF($A16="","",상품마스터!B16)</f>
        <v/>
      </c>
      <c r="C16" s="33" t="str">
        <f>IF($A16="","",상품마스터!D16)</f>
        <v/>
      </c>
      <c r="D16" s="33" t="str">
        <f>IF($A16="","",COUNTIFS(NPI진행현황!$A$2:$A$300,$A16))</f>
        <v/>
      </c>
      <c r="E16" s="35" t="str">
        <f>IF($A16="","",IFERROR(AVERAGEIFS(NPI진행현황!$G$2:$G$300,NPI진행현황!$A$2:$A$300,$A16),"-"))</f>
        <v/>
      </c>
      <c r="F16" s="35" t="str">
        <f>IF($A16="","",IFERROR(AVERAGEIFS(NPI진행현황!$G$2:$G$300,NPI진행현황!$A$2:$A$300,$A16,NPI진행현황!$B$2:$B$300,"CV-*"),"-"))</f>
        <v/>
      </c>
      <c r="G16" s="35" t="str">
        <f>IF($A16="","",IFERROR(AVERAGEIFS(NPI진행현황!$G$2:$G$300,NPI진행현황!$A$2:$A$300,$A16,NPI진행현황!$B$2:$B$300,"CT-*"),"-"))</f>
        <v/>
      </c>
      <c r="H16" s="35" t="str">
        <f>IF($A16="","",IFERROR(AVERAGEIFS(NPI진행현황!$G$2:$G$300,NPI진행현황!$A$2:$A$300,$A16,NPI진행현황!$B$2:$B$300,"PK-*"),"-"))</f>
        <v/>
      </c>
      <c r="I16" s="35" t="str">
        <f>IF($A16="","",IFERROR(AVERAGEIFS(NPI진행현황!$G$2:$G$300,NPI진행현황!$A$2:$A$300,$A16,NPI진행현황!$B$2:$B$300,"SW-*"),"-"))</f>
        <v/>
      </c>
      <c r="J16" s="33" t="str">
        <f>IF($A16="","",COUNTIFS(NPI진행현황!$A$2:$A$300,$A16,NPI진행현황!$F$2:$F$300,"기획"))</f>
        <v/>
      </c>
      <c r="K16" s="33" t="str">
        <f>IF($A16="","",COUNTIFS(NPI진행현황!$A$2:$A$300,$A16,NPI진행현황!$F$2:$F$300,"EVT"))</f>
        <v/>
      </c>
      <c r="L16" s="33" t="str">
        <f>IF($A16="","",COUNTIFS(NPI진행현황!$A$2:$A$300,$A16,NPI진행현황!$F$2:$F$300,"DVT"))</f>
        <v/>
      </c>
      <c r="M16" s="33" t="str">
        <f>IF($A16="","",COUNTIFS(NPI진행현황!$A$2:$A$300,$A16,NPI진행현황!$F$2:$F$300,"PVT"))</f>
        <v/>
      </c>
      <c r="N16" s="33" t="str">
        <f>IF($A16="","",COUNTIFS(NPI진행현황!$A$2:$A$300,$A16,NPI진행현황!$F$2:$F$300,"MP(양산)"))</f>
        <v/>
      </c>
      <c r="O16" s="33" t="str">
        <f>IF($A16="","",COUNTIFS(NPI진행현황!$A$2:$A$300,$A16,NPI진행현황!$J$2:$J$300,"진행중")+COUNTIFS(NPI진행현황!$A$2:$A$300,$A16,NPI진행현황!$J$2:$J$300,"지연"))</f>
        <v/>
      </c>
    </row>
    <row r="17" spans="1:15" ht="15" customHeight="1">
      <c r="A17" s="33" t="str">
        <f>IF(상품마스터!A17="","",상품마스터!A17)</f>
        <v/>
      </c>
      <c r="B17" s="33" t="str">
        <f>IF($A17="","",상품마스터!B17)</f>
        <v/>
      </c>
      <c r="C17" s="33" t="str">
        <f>IF($A17="","",상품마스터!D17)</f>
        <v/>
      </c>
      <c r="D17" s="33" t="str">
        <f>IF($A17="","",COUNTIFS(NPI진행현황!$A$2:$A$300,$A17))</f>
        <v/>
      </c>
      <c r="E17" s="35" t="str">
        <f>IF($A17="","",IFERROR(AVERAGEIFS(NPI진행현황!$G$2:$G$300,NPI진행현황!$A$2:$A$300,$A17),"-"))</f>
        <v/>
      </c>
      <c r="F17" s="35" t="str">
        <f>IF($A17="","",IFERROR(AVERAGEIFS(NPI진행현황!$G$2:$G$300,NPI진행현황!$A$2:$A$300,$A17,NPI진행현황!$B$2:$B$300,"CV-*"),"-"))</f>
        <v/>
      </c>
      <c r="G17" s="35" t="str">
        <f>IF($A17="","",IFERROR(AVERAGEIFS(NPI진행현황!$G$2:$G$300,NPI진행현황!$A$2:$A$300,$A17,NPI진행현황!$B$2:$B$300,"CT-*"),"-"))</f>
        <v/>
      </c>
      <c r="H17" s="35" t="str">
        <f>IF($A17="","",IFERROR(AVERAGEIFS(NPI진행현황!$G$2:$G$300,NPI진행현황!$A$2:$A$300,$A17,NPI진행현황!$B$2:$B$300,"PK-*"),"-"))</f>
        <v/>
      </c>
      <c r="I17" s="35" t="str">
        <f>IF($A17="","",IFERROR(AVERAGEIFS(NPI진행현황!$G$2:$G$300,NPI진행현황!$A$2:$A$300,$A17,NPI진행현황!$B$2:$B$300,"SW-*"),"-"))</f>
        <v/>
      </c>
      <c r="J17" s="33" t="str">
        <f>IF($A17="","",COUNTIFS(NPI진행현황!$A$2:$A$300,$A17,NPI진행현황!$F$2:$F$300,"기획"))</f>
        <v/>
      </c>
      <c r="K17" s="33" t="str">
        <f>IF($A17="","",COUNTIFS(NPI진행현황!$A$2:$A$300,$A17,NPI진행현황!$F$2:$F$300,"EVT"))</f>
        <v/>
      </c>
      <c r="L17" s="33" t="str">
        <f>IF($A17="","",COUNTIFS(NPI진행현황!$A$2:$A$300,$A17,NPI진행현황!$F$2:$F$300,"DVT"))</f>
        <v/>
      </c>
      <c r="M17" s="33" t="str">
        <f>IF($A17="","",COUNTIFS(NPI진행현황!$A$2:$A$300,$A17,NPI진행현황!$F$2:$F$300,"PVT"))</f>
        <v/>
      </c>
      <c r="N17" s="33" t="str">
        <f>IF($A17="","",COUNTIFS(NPI진행현황!$A$2:$A$300,$A17,NPI진행현황!$F$2:$F$300,"MP(양산)"))</f>
        <v/>
      </c>
      <c r="O17" s="33" t="str">
        <f>IF($A17="","",COUNTIFS(NPI진행현황!$A$2:$A$300,$A17,NPI진행현황!$J$2:$J$300,"진행중")+COUNTIFS(NPI진행현황!$A$2:$A$300,$A17,NPI진행현황!$J$2:$J$300,"지연"))</f>
        <v/>
      </c>
    </row>
    <row r="18" spans="1:15" ht="15" customHeight="1">
      <c r="A18" s="33" t="str">
        <f>IF(상품마스터!A18="","",상품마스터!A18)</f>
        <v/>
      </c>
      <c r="B18" s="33" t="str">
        <f>IF($A18="","",상품마스터!B18)</f>
        <v/>
      </c>
      <c r="C18" s="33" t="str">
        <f>IF($A18="","",상품마스터!D18)</f>
        <v/>
      </c>
      <c r="D18" s="33" t="str">
        <f>IF($A18="","",COUNTIFS(NPI진행현황!$A$2:$A$300,$A18))</f>
        <v/>
      </c>
      <c r="E18" s="35" t="str">
        <f>IF($A18="","",IFERROR(AVERAGEIFS(NPI진행현황!$G$2:$G$300,NPI진행현황!$A$2:$A$300,$A18),"-"))</f>
        <v/>
      </c>
      <c r="F18" s="35" t="str">
        <f>IF($A18="","",IFERROR(AVERAGEIFS(NPI진행현황!$G$2:$G$300,NPI진행현황!$A$2:$A$300,$A18,NPI진행현황!$B$2:$B$300,"CV-*"),"-"))</f>
        <v/>
      </c>
      <c r="G18" s="35" t="str">
        <f>IF($A18="","",IFERROR(AVERAGEIFS(NPI진행현황!$G$2:$G$300,NPI진행현황!$A$2:$A$300,$A18,NPI진행현황!$B$2:$B$300,"CT-*"),"-"))</f>
        <v/>
      </c>
      <c r="H18" s="35" t="str">
        <f>IF($A18="","",IFERROR(AVERAGEIFS(NPI진행현황!$G$2:$G$300,NPI진행현황!$A$2:$A$300,$A18,NPI진행현황!$B$2:$B$300,"PK-*"),"-"))</f>
        <v/>
      </c>
      <c r="I18" s="35" t="str">
        <f>IF($A18="","",IFERROR(AVERAGEIFS(NPI진행현황!$G$2:$G$300,NPI진행현황!$A$2:$A$300,$A18,NPI진행현황!$B$2:$B$300,"SW-*"),"-"))</f>
        <v/>
      </c>
      <c r="J18" s="33" t="str">
        <f>IF($A18="","",COUNTIFS(NPI진행현황!$A$2:$A$300,$A18,NPI진행현황!$F$2:$F$300,"기획"))</f>
        <v/>
      </c>
      <c r="K18" s="33" t="str">
        <f>IF($A18="","",COUNTIFS(NPI진행현황!$A$2:$A$300,$A18,NPI진행현황!$F$2:$F$300,"EVT"))</f>
        <v/>
      </c>
      <c r="L18" s="33" t="str">
        <f>IF($A18="","",COUNTIFS(NPI진행현황!$A$2:$A$300,$A18,NPI진행현황!$F$2:$F$300,"DVT"))</f>
        <v/>
      </c>
      <c r="M18" s="33" t="str">
        <f>IF($A18="","",COUNTIFS(NPI진행현황!$A$2:$A$300,$A18,NPI진행현황!$F$2:$F$300,"PVT"))</f>
        <v/>
      </c>
      <c r="N18" s="33" t="str">
        <f>IF($A18="","",COUNTIFS(NPI진행현황!$A$2:$A$300,$A18,NPI진행현황!$F$2:$F$300,"MP(양산)"))</f>
        <v/>
      </c>
      <c r="O18" s="33" t="str">
        <f>IF($A18="","",COUNTIFS(NPI진행현황!$A$2:$A$300,$A18,NPI진행현황!$J$2:$J$300,"진행중")+COUNTIFS(NPI진행현황!$A$2:$A$300,$A18,NPI진행현황!$J$2:$J$300,"지연"))</f>
        <v/>
      </c>
    </row>
    <row r="19" spans="1:15" ht="15" customHeight="1">
      <c r="A19" s="33" t="str">
        <f>IF(상품마스터!A19="","",상품마스터!A19)</f>
        <v/>
      </c>
      <c r="B19" s="33" t="str">
        <f>IF($A19="","",상품마스터!B19)</f>
        <v/>
      </c>
      <c r="C19" s="33" t="str">
        <f>IF($A19="","",상품마스터!D19)</f>
        <v/>
      </c>
      <c r="D19" s="33" t="str">
        <f>IF($A19="","",COUNTIFS(NPI진행현황!$A$2:$A$300,$A19))</f>
        <v/>
      </c>
      <c r="E19" s="35" t="str">
        <f>IF($A19="","",IFERROR(AVERAGEIFS(NPI진행현황!$G$2:$G$300,NPI진행현황!$A$2:$A$300,$A19),"-"))</f>
        <v/>
      </c>
      <c r="F19" s="35" t="str">
        <f>IF($A19="","",IFERROR(AVERAGEIFS(NPI진행현황!$G$2:$G$300,NPI진행현황!$A$2:$A$300,$A19,NPI진행현황!$B$2:$B$300,"CV-*"),"-"))</f>
        <v/>
      </c>
      <c r="G19" s="35" t="str">
        <f>IF($A19="","",IFERROR(AVERAGEIFS(NPI진행현황!$G$2:$G$300,NPI진행현황!$A$2:$A$300,$A19,NPI진행현황!$B$2:$B$300,"CT-*"),"-"))</f>
        <v/>
      </c>
      <c r="H19" s="35" t="str">
        <f>IF($A19="","",IFERROR(AVERAGEIFS(NPI진행현황!$G$2:$G$300,NPI진행현황!$A$2:$A$300,$A19,NPI진행현황!$B$2:$B$300,"PK-*"),"-"))</f>
        <v/>
      </c>
      <c r="I19" s="35" t="str">
        <f>IF($A19="","",IFERROR(AVERAGEIFS(NPI진행현황!$G$2:$G$300,NPI진행현황!$A$2:$A$300,$A19,NPI진행현황!$B$2:$B$300,"SW-*"),"-"))</f>
        <v/>
      </c>
      <c r="J19" s="33" t="str">
        <f>IF($A19="","",COUNTIFS(NPI진행현황!$A$2:$A$300,$A19,NPI진행현황!$F$2:$F$300,"기획"))</f>
        <v/>
      </c>
      <c r="K19" s="33" t="str">
        <f>IF($A19="","",COUNTIFS(NPI진행현황!$A$2:$A$300,$A19,NPI진행현황!$F$2:$F$300,"EVT"))</f>
        <v/>
      </c>
      <c r="L19" s="33" t="str">
        <f>IF($A19="","",COUNTIFS(NPI진행현황!$A$2:$A$300,$A19,NPI진행현황!$F$2:$F$300,"DVT"))</f>
        <v/>
      </c>
      <c r="M19" s="33" t="str">
        <f>IF($A19="","",COUNTIFS(NPI진행현황!$A$2:$A$300,$A19,NPI진행현황!$F$2:$F$300,"PVT"))</f>
        <v/>
      </c>
      <c r="N19" s="33" t="str">
        <f>IF($A19="","",COUNTIFS(NPI진행현황!$A$2:$A$300,$A19,NPI진행현황!$F$2:$F$300,"MP(양산)"))</f>
        <v/>
      </c>
      <c r="O19" s="33" t="str">
        <f>IF($A19="","",COUNTIFS(NPI진행현황!$A$2:$A$300,$A19,NPI진행현황!$J$2:$J$300,"진행중")+COUNTIFS(NPI진행현황!$A$2:$A$300,$A19,NPI진행현황!$J$2:$J$300,"지연"))</f>
        <v/>
      </c>
    </row>
    <row r="20" spans="1:15" ht="15" customHeight="1">
      <c r="A20" s="33" t="str">
        <f>IF(상품마스터!A20="","",상품마스터!A20)</f>
        <v/>
      </c>
      <c r="B20" s="33" t="str">
        <f>IF($A20="","",상품마스터!B20)</f>
        <v/>
      </c>
      <c r="C20" s="33" t="str">
        <f>IF($A20="","",상품마스터!D20)</f>
        <v/>
      </c>
      <c r="D20" s="33" t="str">
        <f>IF($A20="","",COUNTIFS(NPI진행현황!$A$2:$A$300,$A20))</f>
        <v/>
      </c>
      <c r="E20" s="35" t="str">
        <f>IF($A20="","",IFERROR(AVERAGEIFS(NPI진행현황!$G$2:$G$300,NPI진행현황!$A$2:$A$300,$A20),"-"))</f>
        <v/>
      </c>
      <c r="F20" s="35" t="str">
        <f>IF($A20="","",IFERROR(AVERAGEIFS(NPI진행현황!$G$2:$G$300,NPI진행현황!$A$2:$A$300,$A20,NPI진행현황!$B$2:$B$300,"CV-*"),"-"))</f>
        <v/>
      </c>
      <c r="G20" s="35" t="str">
        <f>IF($A20="","",IFERROR(AVERAGEIFS(NPI진행현황!$G$2:$G$300,NPI진행현황!$A$2:$A$300,$A20,NPI진행현황!$B$2:$B$300,"CT-*"),"-"))</f>
        <v/>
      </c>
      <c r="H20" s="35" t="str">
        <f>IF($A20="","",IFERROR(AVERAGEIFS(NPI진행현황!$G$2:$G$300,NPI진행현황!$A$2:$A$300,$A20,NPI진행현황!$B$2:$B$300,"PK-*"),"-"))</f>
        <v/>
      </c>
      <c r="I20" s="35" t="str">
        <f>IF($A20="","",IFERROR(AVERAGEIFS(NPI진행현황!$G$2:$G$300,NPI진행현황!$A$2:$A$300,$A20,NPI진행현황!$B$2:$B$300,"SW-*"),"-"))</f>
        <v/>
      </c>
      <c r="J20" s="33" t="str">
        <f>IF($A20="","",COUNTIFS(NPI진행현황!$A$2:$A$300,$A20,NPI진행현황!$F$2:$F$300,"기획"))</f>
        <v/>
      </c>
      <c r="K20" s="33" t="str">
        <f>IF($A20="","",COUNTIFS(NPI진행현황!$A$2:$A$300,$A20,NPI진행현황!$F$2:$F$300,"EVT"))</f>
        <v/>
      </c>
      <c r="L20" s="33" t="str">
        <f>IF($A20="","",COUNTIFS(NPI진행현황!$A$2:$A$300,$A20,NPI진행현황!$F$2:$F$300,"DVT"))</f>
        <v/>
      </c>
      <c r="M20" s="33" t="str">
        <f>IF($A20="","",COUNTIFS(NPI진행현황!$A$2:$A$300,$A20,NPI진행현황!$F$2:$F$300,"PVT"))</f>
        <v/>
      </c>
      <c r="N20" s="33" t="str">
        <f>IF($A20="","",COUNTIFS(NPI진행현황!$A$2:$A$300,$A20,NPI진행현황!$F$2:$F$300,"MP(양산)"))</f>
        <v/>
      </c>
      <c r="O20" s="33" t="str">
        <f>IF($A20="","",COUNTIFS(NPI진행현황!$A$2:$A$300,$A20,NPI진행현황!$J$2:$J$300,"진행중")+COUNTIFS(NPI진행현황!$A$2:$A$300,$A20,NPI진행현황!$J$2:$J$300,"지연"))</f>
        <v/>
      </c>
    </row>
    <row r="21" spans="1:15" ht="15" customHeight="1">
      <c r="A21" s="33" t="str">
        <f>IF(상품마스터!A21="","",상품마스터!A21)</f>
        <v/>
      </c>
      <c r="B21" s="33" t="str">
        <f>IF($A21="","",상품마스터!B21)</f>
        <v/>
      </c>
      <c r="C21" s="33" t="str">
        <f>IF($A21="","",상품마스터!D21)</f>
        <v/>
      </c>
      <c r="D21" s="33" t="str">
        <f>IF($A21="","",COUNTIFS(NPI진행현황!$A$2:$A$300,$A21))</f>
        <v/>
      </c>
      <c r="E21" s="35" t="str">
        <f>IF($A21="","",IFERROR(AVERAGEIFS(NPI진행현황!$G$2:$G$300,NPI진행현황!$A$2:$A$300,$A21),"-"))</f>
        <v/>
      </c>
      <c r="F21" s="35" t="str">
        <f>IF($A21="","",IFERROR(AVERAGEIFS(NPI진행현황!$G$2:$G$300,NPI진행현황!$A$2:$A$300,$A21,NPI진행현황!$B$2:$B$300,"CV-*"),"-"))</f>
        <v/>
      </c>
      <c r="G21" s="35" t="str">
        <f>IF($A21="","",IFERROR(AVERAGEIFS(NPI진행현황!$G$2:$G$300,NPI진행현황!$A$2:$A$300,$A21,NPI진행현황!$B$2:$B$300,"CT-*"),"-"))</f>
        <v/>
      </c>
      <c r="H21" s="35" t="str">
        <f>IF($A21="","",IFERROR(AVERAGEIFS(NPI진행현황!$G$2:$G$300,NPI진행현황!$A$2:$A$300,$A21,NPI진행현황!$B$2:$B$300,"PK-*"),"-"))</f>
        <v/>
      </c>
      <c r="I21" s="35" t="str">
        <f>IF($A21="","",IFERROR(AVERAGEIFS(NPI진행현황!$G$2:$G$300,NPI진행현황!$A$2:$A$300,$A21,NPI진행현황!$B$2:$B$300,"SW-*"),"-"))</f>
        <v/>
      </c>
      <c r="J21" s="33" t="str">
        <f>IF($A21="","",COUNTIFS(NPI진행현황!$A$2:$A$300,$A21,NPI진행현황!$F$2:$F$300,"기획"))</f>
        <v/>
      </c>
      <c r="K21" s="33" t="str">
        <f>IF($A21="","",COUNTIFS(NPI진행현황!$A$2:$A$300,$A21,NPI진행현황!$F$2:$F$300,"EVT"))</f>
        <v/>
      </c>
      <c r="L21" s="33" t="str">
        <f>IF($A21="","",COUNTIFS(NPI진행현황!$A$2:$A$300,$A21,NPI진행현황!$F$2:$F$300,"DVT"))</f>
        <v/>
      </c>
      <c r="M21" s="33" t="str">
        <f>IF($A21="","",COUNTIFS(NPI진행현황!$A$2:$A$300,$A21,NPI진행현황!$F$2:$F$300,"PVT"))</f>
        <v/>
      </c>
      <c r="N21" s="33" t="str">
        <f>IF($A21="","",COUNTIFS(NPI진행현황!$A$2:$A$300,$A21,NPI진행현황!$F$2:$F$300,"MP(양산)"))</f>
        <v/>
      </c>
      <c r="O21" s="33" t="str">
        <f>IF($A21="","",COUNTIFS(NPI진행현황!$A$2:$A$300,$A21,NPI진행현황!$J$2:$J$300,"진행중")+COUNTIFS(NPI진행현황!$A$2:$A$300,$A21,NPI진행현황!$J$2:$J$300,"지연"))</f>
        <v/>
      </c>
    </row>
    <row r="22" spans="1:15" ht="15" customHeight="1">
      <c r="A22" s="33" t="str">
        <f>IF(상품마스터!A22="","",상품마스터!A22)</f>
        <v/>
      </c>
      <c r="B22" s="33" t="str">
        <f>IF($A22="","",상품마스터!B22)</f>
        <v/>
      </c>
      <c r="C22" s="33" t="str">
        <f>IF($A22="","",상품마스터!D22)</f>
        <v/>
      </c>
      <c r="D22" s="33" t="str">
        <f>IF($A22="","",COUNTIFS(NPI진행현황!$A$2:$A$300,$A22))</f>
        <v/>
      </c>
      <c r="E22" s="35" t="str">
        <f>IF($A22="","",IFERROR(AVERAGEIFS(NPI진행현황!$G$2:$G$300,NPI진행현황!$A$2:$A$300,$A22),"-"))</f>
        <v/>
      </c>
      <c r="F22" s="35" t="str">
        <f>IF($A22="","",IFERROR(AVERAGEIFS(NPI진행현황!$G$2:$G$300,NPI진행현황!$A$2:$A$300,$A22,NPI진행현황!$B$2:$B$300,"CV-*"),"-"))</f>
        <v/>
      </c>
      <c r="G22" s="35" t="str">
        <f>IF($A22="","",IFERROR(AVERAGEIFS(NPI진행현황!$G$2:$G$300,NPI진행현황!$A$2:$A$300,$A22,NPI진행현황!$B$2:$B$300,"CT-*"),"-"))</f>
        <v/>
      </c>
      <c r="H22" s="35" t="str">
        <f>IF($A22="","",IFERROR(AVERAGEIFS(NPI진행현황!$G$2:$G$300,NPI진행현황!$A$2:$A$300,$A22,NPI진행현황!$B$2:$B$300,"PK-*"),"-"))</f>
        <v/>
      </c>
      <c r="I22" s="35" t="str">
        <f>IF($A22="","",IFERROR(AVERAGEIFS(NPI진행현황!$G$2:$G$300,NPI진행현황!$A$2:$A$300,$A22,NPI진행현황!$B$2:$B$300,"SW-*"),"-"))</f>
        <v/>
      </c>
      <c r="J22" s="33" t="str">
        <f>IF($A22="","",COUNTIFS(NPI진행현황!$A$2:$A$300,$A22,NPI진행현황!$F$2:$F$300,"기획"))</f>
        <v/>
      </c>
      <c r="K22" s="33" t="str">
        <f>IF($A22="","",COUNTIFS(NPI진행현황!$A$2:$A$300,$A22,NPI진행현황!$F$2:$F$300,"EVT"))</f>
        <v/>
      </c>
      <c r="L22" s="33" t="str">
        <f>IF($A22="","",COUNTIFS(NPI진행현황!$A$2:$A$300,$A22,NPI진행현황!$F$2:$F$300,"DVT"))</f>
        <v/>
      </c>
      <c r="M22" s="33" t="str">
        <f>IF($A22="","",COUNTIFS(NPI진행현황!$A$2:$A$300,$A22,NPI진행현황!$F$2:$F$300,"PVT"))</f>
        <v/>
      </c>
      <c r="N22" s="33" t="str">
        <f>IF($A22="","",COUNTIFS(NPI진행현황!$A$2:$A$300,$A22,NPI진행현황!$F$2:$F$300,"MP(양산)"))</f>
        <v/>
      </c>
      <c r="O22" s="33" t="str">
        <f>IF($A22="","",COUNTIFS(NPI진행현황!$A$2:$A$300,$A22,NPI진행현황!$J$2:$J$300,"진행중")+COUNTIFS(NPI진행현황!$A$2:$A$300,$A22,NPI진행현황!$J$2:$J$300,"지연"))</f>
        <v/>
      </c>
    </row>
    <row r="23" spans="1:15" ht="15" customHeight="1">
      <c r="A23" s="33" t="str">
        <f>IF(상품마스터!A23="","",상품마스터!A23)</f>
        <v/>
      </c>
      <c r="B23" s="33" t="str">
        <f>IF($A23="","",상품마스터!B23)</f>
        <v/>
      </c>
      <c r="C23" s="33" t="str">
        <f>IF($A23="","",상품마스터!D23)</f>
        <v/>
      </c>
      <c r="D23" s="33" t="str">
        <f>IF($A23="","",COUNTIFS(NPI진행현황!$A$2:$A$300,$A23))</f>
        <v/>
      </c>
      <c r="E23" s="35" t="str">
        <f>IF($A23="","",IFERROR(AVERAGEIFS(NPI진행현황!$G$2:$G$300,NPI진행현황!$A$2:$A$300,$A23),"-"))</f>
        <v/>
      </c>
      <c r="F23" s="35" t="str">
        <f>IF($A23="","",IFERROR(AVERAGEIFS(NPI진행현황!$G$2:$G$300,NPI진행현황!$A$2:$A$300,$A23,NPI진행현황!$B$2:$B$300,"CV-*"),"-"))</f>
        <v/>
      </c>
      <c r="G23" s="35" t="str">
        <f>IF($A23="","",IFERROR(AVERAGEIFS(NPI진행현황!$G$2:$G$300,NPI진행현황!$A$2:$A$300,$A23,NPI진행현황!$B$2:$B$300,"CT-*"),"-"))</f>
        <v/>
      </c>
      <c r="H23" s="35" t="str">
        <f>IF($A23="","",IFERROR(AVERAGEIFS(NPI진행현황!$G$2:$G$300,NPI진행현황!$A$2:$A$300,$A23,NPI진행현황!$B$2:$B$300,"PK-*"),"-"))</f>
        <v/>
      </c>
      <c r="I23" s="35" t="str">
        <f>IF($A23="","",IFERROR(AVERAGEIFS(NPI진행현황!$G$2:$G$300,NPI진행현황!$A$2:$A$300,$A23,NPI진행현황!$B$2:$B$300,"SW-*"),"-"))</f>
        <v/>
      </c>
      <c r="J23" s="33" t="str">
        <f>IF($A23="","",COUNTIFS(NPI진행현황!$A$2:$A$300,$A23,NPI진행현황!$F$2:$F$300,"기획"))</f>
        <v/>
      </c>
      <c r="K23" s="33" t="str">
        <f>IF($A23="","",COUNTIFS(NPI진행현황!$A$2:$A$300,$A23,NPI진행현황!$F$2:$F$300,"EVT"))</f>
        <v/>
      </c>
      <c r="L23" s="33" t="str">
        <f>IF($A23="","",COUNTIFS(NPI진행현황!$A$2:$A$300,$A23,NPI진행현황!$F$2:$F$300,"DVT"))</f>
        <v/>
      </c>
      <c r="M23" s="33" t="str">
        <f>IF($A23="","",COUNTIFS(NPI진행현황!$A$2:$A$300,$A23,NPI진행현황!$F$2:$F$300,"PVT"))</f>
        <v/>
      </c>
      <c r="N23" s="33" t="str">
        <f>IF($A23="","",COUNTIFS(NPI진행현황!$A$2:$A$300,$A23,NPI진행현황!$F$2:$F$300,"MP(양산)"))</f>
        <v/>
      </c>
      <c r="O23" s="33" t="str">
        <f>IF($A23="","",COUNTIFS(NPI진행현황!$A$2:$A$300,$A23,NPI진행현황!$J$2:$J$300,"진행중")+COUNTIFS(NPI진행현황!$A$2:$A$300,$A23,NPI진행현황!$J$2:$J$300,"지연"))</f>
        <v/>
      </c>
    </row>
    <row r="24" spans="1:15" ht="15" customHeight="1">
      <c r="A24" s="33" t="str">
        <f>IF(상품마스터!A24="","",상품마스터!A24)</f>
        <v/>
      </c>
      <c r="B24" s="33" t="str">
        <f>IF($A24="","",상품마스터!B24)</f>
        <v/>
      </c>
      <c r="C24" s="33" t="str">
        <f>IF($A24="","",상품마스터!D24)</f>
        <v/>
      </c>
      <c r="D24" s="33" t="str">
        <f>IF($A24="","",COUNTIFS(NPI진행현황!$A$2:$A$300,$A24))</f>
        <v/>
      </c>
      <c r="E24" s="35" t="str">
        <f>IF($A24="","",IFERROR(AVERAGEIFS(NPI진행현황!$G$2:$G$300,NPI진행현황!$A$2:$A$300,$A24),"-"))</f>
        <v/>
      </c>
      <c r="F24" s="35" t="str">
        <f>IF($A24="","",IFERROR(AVERAGEIFS(NPI진행현황!$G$2:$G$300,NPI진행현황!$A$2:$A$300,$A24,NPI진행현황!$B$2:$B$300,"CV-*"),"-"))</f>
        <v/>
      </c>
      <c r="G24" s="35" t="str">
        <f>IF($A24="","",IFERROR(AVERAGEIFS(NPI진행현황!$G$2:$G$300,NPI진행현황!$A$2:$A$300,$A24,NPI진행현황!$B$2:$B$300,"CT-*"),"-"))</f>
        <v/>
      </c>
      <c r="H24" s="35" t="str">
        <f>IF($A24="","",IFERROR(AVERAGEIFS(NPI진행현황!$G$2:$G$300,NPI진행현황!$A$2:$A$300,$A24,NPI진행현황!$B$2:$B$300,"PK-*"),"-"))</f>
        <v/>
      </c>
      <c r="I24" s="35" t="str">
        <f>IF($A24="","",IFERROR(AVERAGEIFS(NPI진행현황!$G$2:$G$300,NPI진행현황!$A$2:$A$300,$A24,NPI진행현황!$B$2:$B$300,"SW-*"),"-"))</f>
        <v/>
      </c>
      <c r="J24" s="33" t="str">
        <f>IF($A24="","",COUNTIFS(NPI진행현황!$A$2:$A$300,$A24,NPI진행현황!$F$2:$F$300,"기획"))</f>
        <v/>
      </c>
      <c r="K24" s="33" t="str">
        <f>IF($A24="","",COUNTIFS(NPI진행현황!$A$2:$A$300,$A24,NPI진행현황!$F$2:$F$300,"EVT"))</f>
        <v/>
      </c>
      <c r="L24" s="33" t="str">
        <f>IF($A24="","",COUNTIFS(NPI진행현황!$A$2:$A$300,$A24,NPI진행현황!$F$2:$F$300,"DVT"))</f>
        <v/>
      </c>
      <c r="M24" s="33" t="str">
        <f>IF($A24="","",COUNTIFS(NPI진행현황!$A$2:$A$300,$A24,NPI진행현황!$F$2:$F$300,"PVT"))</f>
        <v/>
      </c>
      <c r="N24" s="33" t="str">
        <f>IF($A24="","",COUNTIFS(NPI진행현황!$A$2:$A$300,$A24,NPI진행현황!$F$2:$F$300,"MP(양산)"))</f>
        <v/>
      </c>
      <c r="O24" s="33" t="str">
        <f>IF($A24="","",COUNTIFS(NPI진행현황!$A$2:$A$300,$A24,NPI진행현황!$J$2:$J$300,"진행중")+COUNTIFS(NPI진행현황!$A$2:$A$300,$A24,NPI진행현황!$J$2:$J$300,"지연"))</f>
        <v/>
      </c>
    </row>
    <row r="25" spans="1:15" ht="15" customHeight="1">
      <c r="A25" s="33" t="str">
        <f>IF(상품마스터!A25="","",상품마스터!A25)</f>
        <v/>
      </c>
      <c r="B25" s="33" t="str">
        <f>IF($A25="","",상품마스터!B25)</f>
        <v/>
      </c>
      <c r="C25" s="33" t="str">
        <f>IF($A25="","",상품마스터!D25)</f>
        <v/>
      </c>
      <c r="D25" s="33" t="str">
        <f>IF($A25="","",COUNTIFS(NPI진행현황!$A$2:$A$300,$A25))</f>
        <v/>
      </c>
      <c r="E25" s="35" t="str">
        <f>IF($A25="","",IFERROR(AVERAGEIFS(NPI진행현황!$G$2:$G$300,NPI진행현황!$A$2:$A$300,$A25),"-"))</f>
        <v/>
      </c>
      <c r="F25" s="35" t="str">
        <f>IF($A25="","",IFERROR(AVERAGEIFS(NPI진행현황!$G$2:$G$300,NPI진행현황!$A$2:$A$300,$A25,NPI진행현황!$B$2:$B$300,"CV-*"),"-"))</f>
        <v/>
      </c>
      <c r="G25" s="35" t="str">
        <f>IF($A25="","",IFERROR(AVERAGEIFS(NPI진행현황!$G$2:$G$300,NPI진행현황!$A$2:$A$300,$A25,NPI진행현황!$B$2:$B$300,"CT-*"),"-"))</f>
        <v/>
      </c>
      <c r="H25" s="35" t="str">
        <f>IF($A25="","",IFERROR(AVERAGEIFS(NPI진행현황!$G$2:$G$300,NPI진행현황!$A$2:$A$300,$A25,NPI진행현황!$B$2:$B$300,"PK-*"),"-"))</f>
        <v/>
      </c>
      <c r="I25" s="35" t="str">
        <f>IF($A25="","",IFERROR(AVERAGEIFS(NPI진행현황!$G$2:$G$300,NPI진행현황!$A$2:$A$300,$A25,NPI진행현황!$B$2:$B$300,"SW-*"),"-"))</f>
        <v/>
      </c>
      <c r="J25" s="33" t="str">
        <f>IF($A25="","",COUNTIFS(NPI진행현황!$A$2:$A$300,$A25,NPI진행현황!$F$2:$F$300,"기획"))</f>
        <v/>
      </c>
      <c r="K25" s="33" t="str">
        <f>IF($A25="","",COUNTIFS(NPI진행현황!$A$2:$A$300,$A25,NPI진행현황!$F$2:$F$300,"EVT"))</f>
        <v/>
      </c>
      <c r="L25" s="33" t="str">
        <f>IF($A25="","",COUNTIFS(NPI진행현황!$A$2:$A$300,$A25,NPI진행현황!$F$2:$F$300,"DVT"))</f>
        <v/>
      </c>
      <c r="M25" s="33" t="str">
        <f>IF($A25="","",COUNTIFS(NPI진행현황!$A$2:$A$300,$A25,NPI진행현황!$F$2:$F$300,"PVT"))</f>
        <v/>
      </c>
      <c r="N25" s="33" t="str">
        <f>IF($A25="","",COUNTIFS(NPI진행현황!$A$2:$A$300,$A25,NPI진행현황!$F$2:$F$300,"MP(양산)"))</f>
        <v/>
      </c>
      <c r="O25" s="33" t="str">
        <f>IF($A25="","",COUNTIFS(NPI진행현황!$A$2:$A$300,$A25,NPI진행현황!$J$2:$J$300,"진행중")+COUNTIFS(NPI진행현황!$A$2:$A$300,$A25,NPI진행현황!$J$2:$J$300,"지연"))</f>
        <v/>
      </c>
    </row>
    <row r="26" spans="1:15" ht="15" customHeight="1">
      <c r="A26" s="33" t="str">
        <f>IF(상품마스터!A26="","",상품마스터!A26)</f>
        <v/>
      </c>
      <c r="B26" s="33" t="str">
        <f>IF($A26="","",상품마스터!B26)</f>
        <v/>
      </c>
      <c r="C26" s="33" t="str">
        <f>IF($A26="","",상품마스터!D26)</f>
        <v/>
      </c>
      <c r="D26" s="33" t="str">
        <f>IF($A26="","",COUNTIFS(NPI진행현황!$A$2:$A$300,$A26))</f>
        <v/>
      </c>
      <c r="E26" s="35" t="str">
        <f>IF($A26="","",IFERROR(AVERAGEIFS(NPI진행현황!$G$2:$G$300,NPI진행현황!$A$2:$A$300,$A26),"-"))</f>
        <v/>
      </c>
      <c r="F26" s="35" t="str">
        <f>IF($A26="","",IFERROR(AVERAGEIFS(NPI진행현황!$G$2:$G$300,NPI진행현황!$A$2:$A$300,$A26,NPI진행현황!$B$2:$B$300,"CV-*"),"-"))</f>
        <v/>
      </c>
      <c r="G26" s="35" t="str">
        <f>IF($A26="","",IFERROR(AVERAGEIFS(NPI진행현황!$G$2:$G$300,NPI진행현황!$A$2:$A$300,$A26,NPI진행현황!$B$2:$B$300,"CT-*"),"-"))</f>
        <v/>
      </c>
      <c r="H26" s="35" t="str">
        <f>IF($A26="","",IFERROR(AVERAGEIFS(NPI진행현황!$G$2:$G$300,NPI진행현황!$A$2:$A$300,$A26,NPI진행현황!$B$2:$B$300,"PK-*"),"-"))</f>
        <v/>
      </c>
      <c r="I26" s="35" t="str">
        <f>IF($A26="","",IFERROR(AVERAGEIFS(NPI진행현황!$G$2:$G$300,NPI진행현황!$A$2:$A$300,$A26,NPI진행현황!$B$2:$B$300,"SW-*"),"-"))</f>
        <v/>
      </c>
      <c r="J26" s="33" t="str">
        <f>IF($A26="","",COUNTIFS(NPI진행현황!$A$2:$A$300,$A26,NPI진행현황!$F$2:$F$300,"기획"))</f>
        <v/>
      </c>
      <c r="K26" s="33" t="str">
        <f>IF($A26="","",COUNTIFS(NPI진행현황!$A$2:$A$300,$A26,NPI진행현황!$F$2:$F$300,"EVT"))</f>
        <v/>
      </c>
      <c r="L26" s="33" t="str">
        <f>IF($A26="","",COUNTIFS(NPI진행현황!$A$2:$A$300,$A26,NPI진행현황!$F$2:$F$300,"DVT"))</f>
        <v/>
      </c>
      <c r="M26" s="33" t="str">
        <f>IF($A26="","",COUNTIFS(NPI진행현황!$A$2:$A$300,$A26,NPI진행현황!$F$2:$F$300,"PVT"))</f>
        <v/>
      </c>
      <c r="N26" s="33" t="str">
        <f>IF($A26="","",COUNTIFS(NPI진행현황!$A$2:$A$300,$A26,NPI진행현황!$F$2:$F$300,"MP(양산)"))</f>
        <v/>
      </c>
      <c r="O26" s="33" t="str">
        <f>IF($A26="","",COUNTIFS(NPI진행현황!$A$2:$A$300,$A26,NPI진행현황!$J$2:$J$300,"진행중")+COUNTIFS(NPI진행현황!$A$2:$A$300,$A26,NPI진행현황!$J$2:$J$300,"지연"))</f>
        <v/>
      </c>
    </row>
    <row r="27" spans="1:15" ht="15" customHeight="1">
      <c r="A27" s="33" t="str">
        <f>IF(상품마스터!A27="","",상품마스터!A27)</f>
        <v/>
      </c>
      <c r="B27" s="33" t="str">
        <f>IF($A27="","",상품마스터!B27)</f>
        <v/>
      </c>
      <c r="C27" s="33" t="str">
        <f>IF($A27="","",상품마스터!D27)</f>
        <v/>
      </c>
      <c r="D27" s="33" t="str">
        <f>IF($A27="","",COUNTIFS(NPI진행현황!$A$2:$A$300,$A27))</f>
        <v/>
      </c>
      <c r="E27" s="35" t="str">
        <f>IF($A27="","",IFERROR(AVERAGEIFS(NPI진행현황!$G$2:$G$300,NPI진행현황!$A$2:$A$300,$A27),"-"))</f>
        <v/>
      </c>
      <c r="F27" s="35" t="str">
        <f>IF($A27="","",IFERROR(AVERAGEIFS(NPI진행현황!$G$2:$G$300,NPI진행현황!$A$2:$A$300,$A27,NPI진행현황!$B$2:$B$300,"CV-*"),"-"))</f>
        <v/>
      </c>
      <c r="G27" s="35" t="str">
        <f>IF($A27="","",IFERROR(AVERAGEIFS(NPI진행현황!$G$2:$G$300,NPI진행현황!$A$2:$A$300,$A27,NPI진행현황!$B$2:$B$300,"CT-*"),"-"))</f>
        <v/>
      </c>
      <c r="H27" s="35" t="str">
        <f>IF($A27="","",IFERROR(AVERAGEIFS(NPI진행현황!$G$2:$G$300,NPI진행현황!$A$2:$A$300,$A27,NPI진행현황!$B$2:$B$300,"PK-*"),"-"))</f>
        <v/>
      </c>
      <c r="I27" s="35" t="str">
        <f>IF($A27="","",IFERROR(AVERAGEIFS(NPI진행현황!$G$2:$G$300,NPI진행현황!$A$2:$A$300,$A27,NPI진행현황!$B$2:$B$300,"SW-*"),"-"))</f>
        <v/>
      </c>
      <c r="J27" s="33" t="str">
        <f>IF($A27="","",COUNTIFS(NPI진행현황!$A$2:$A$300,$A27,NPI진행현황!$F$2:$F$300,"기획"))</f>
        <v/>
      </c>
      <c r="K27" s="33" t="str">
        <f>IF($A27="","",COUNTIFS(NPI진행현황!$A$2:$A$300,$A27,NPI진행현황!$F$2:$F$300,"EVT"))</f>
        <v/>
      </c>
      <c r="L27" s="33" t="str">
        <f>IF($A27="","",COUNTIFS(NPI진행현황!$A$2:$A$300,$A27,NPI진행현황!$F$2:$F$300,"DVT"))</f>
        <v/>
      </c>
      <c r="M27" s="33" t="str">
        <f>IF($A27="","",COUNTIFS(NPI진행현황!$A$2:$A$300,$A27,NPI진행현황!$F$2:$F$300,"PVT"))</f>
        <v/>
      </c>
      <c r="N27" s="33" t="str">
        <f>IF($A27="","",COUNTIFS(NPI진행현황!$A$2:$A$300,$A27,NPI진행현황!$F$2:$F$300,"MP(양산)"))</f>
        <v/>
      </c>
      <c r="O27" s="33" t="str">
        <f>IF($A27="","",COUNTIFS(NPI진행현황!$A$2:$A$300,$A27,NPI진행현황!$J$2:$J$300,"진행중")+COUNTIFS(NPI진행현황!$A$2:$A$300,$A27,NPI진행현황!$J$2:$J$300,"지연"))</f>
        <v/>
      </c>
    </row>
    <row r="28" spans="1:15" ht="15" customHeight="1">
      <c r="A28" s="33" t="str">
        <f>IF(상품마스터!A28="","",상품마스터!A28)</f>
        <v/>
      </c>
      <c r="B28" s="33" t="str">
        <f>IF($A28="","",상품마스터!B28)</f>
        <v/>
      </c>
      <c r="C28" s="33" t="str">
        <f>IF($A28="","",상품마스터!D28)</f>
        <v/>
      </c>
      <c r="D28" s="33" t="str">
        <f>IF($A28="","",COUNTIFS(NPI진행현황!$A$2:$A$300,$A28))</f>
        <v/>
      </c>
      <c r="E28" s="35" t="str">
        <f>IF($A28="","",IFERROR(AVERAGEIFS(NPI진행현황!$G$2:$G$300,NPI진행현황!$A$2:$A$300,$A28),"-"))</f>
        <v/>
      </c>
      <c r="F28" s="35" t="str">
        <f>IF($A28="","",IFERROR(AVERAGEIFS(NPI진행현황!$G$2:$G$300,NPI진행현황!$A$2:$A$300,$A28,NPI진행현황!$B$2:$B$300,"CV-*"),"-"))</f>
        <v/>
      </c>
      <c r="G28" s="35" t="str">
        <f>IF($A28="","",IFERROR(AVERAGEIFS(NPI진행현황!$G$2:$G$300,NPI진행현황!$A$2:$A$300,$A28,NPI진행현황!$B$2:$B$300,"CT-*"),"-"))</f>
        <v/>
      </c>
      <c r="H28" s="35" t="str">
        <f>IF($A28="","",IFERROR(AVERAGEIFS(NPI진행현황!$G$2:$G$300,NPI진행현황!$A$2:$A$300,$A28,NPI진행현황!$B$2:$B$300,"PK-*"),"-"))</f>
        <v/>
      </c>
      <c r="I28" s="35" t="str">
        <f>IF($A28="","",IFERROR(AVERAGEIFS(NPI진행현황!$G$2:$G$300,NPI진행현황!$A$2:$A$300,$A28,NPI진행현황!$B$2:$B$300,"SW-*"),"-"))</f>
        <v/>
      </c>
      <c r="J28" s="33" t="str">
        <f>IF($A28="","",COUNTIFS(NPI진행현황!$A$2:$A$300,$A28,NPI진행현황!$F$2:$F$300,"기획"))</f>
        <v/>
      </c>
      <c r="K28" s="33" t="str">
        <f>IF($A28="","",COUNTIFS(NPI진행현황!$A$2:$A$300,$A28,NPI진행현황!$F$2:$F$300,"EVT"))</f>
        <v/>
      </c>
      <c r="L28" s="33" t="str">
        <f>IF($A28="","",COUNTIFS(NPI진행현황!$A$2:$A$300,$A28,NPI진행현황!$F$2:$F$300,"DVT"))</f>
        <v/>
      </c>
      <c r="M28" s="33" t="str">
        <f>IF($A28="","",COUNTIFS(NPI진행현황!$A$2:$A$300,$A28,NPI진행현황!$F$2:$F$300,"PVT"))</f>
        <v/>
      </c>
      <c r="N28" s="33" t="str">
        <f>IF($A28="","",COUNTIFS(NPI진행현황!$A$2:$A$300,$A28,NPI진행현황!$F$2:$F$300,"MP(양산)"))</f>
        <v/>
      </c>
      <c r="O28" s="33" t="str">
        <f>IF($A28="","",COUNTIFS(NPI진행현황!$A$2:$A$300,$A28,NPI진행현황!$J$2:$J$300,"진행중")+COUNTIFS(NPI진행현황!$A$2:$A$300,$A28,NPI진행현황!$J$2:$J$300,"지연"))</f>
        <v/>
      </c>
    </row>
    <row r="29" spans="1:15" ht="15" customHeight="1">
      <c r="A29" s="33" t="str">
        <f>IF(상품마스터!A29="","",상품마스터!A29)</f>
        <v/>
      </c>
      <c r="B29" s="33" t="str">
        <f>IF($A29="","",상품마스터!B29)</f>
        <v/>
      </c>
      <c r="C29" s="33" t="str">
        <f>IF($A29="","",상품마스터!D29)</f>
        <v/>
      </c>
      <c r="D29" s="33" t="str">
        <f>IF($A29="","",COUNTIFS(NPI진행현황!$A$2:$A$300,$A29))</f>
        <v/>
      </c>
      <c r="E29" s="35" t="str">
        <f>IF($A29="","",IFERROR(AVERAGEIFS(NPI진행현황!$G$2:$G$300,NPI진행현황!$A$2:$A$300,$A29),"-"))</f>
        <v/>
      </c>
      <c r="F29" s="35" t="str">
        <f>IF($A29="","",IFERROR(AVERAGEIFS(NPI진행현황!$G$2:$G$300,NPI진행현황!$A$2:$A$300,$A29,NPI진행현황!$B$2:$B$300,"CV-*"),"-"))</f>
        <v/>
      </c>
      <c r="G29" s="35" t="str">
        <f>IF($A29="","",IFERROR(AVERAGEIFS(NPI진행현황!$G$2:$G$300,NPI진행현황!$A$2:$A$300,$A29,NPI진행현황!$B$2:$B$300,"CT-*"),"-"))</f>
        <v/>
      </c>
      <c r="H29" s="35" t="str">
        <f>IF($A29="","",IFERROR(AVERAGEIFS(NPI진행현황!$G$2:$G$300,NPI진행현황!$A$2:$A$300,$A29,NPI진행현황!$B$2:$B$300,"PK-*"),"-"))</f>
        <v/>
      </c>
      <c r="I29" s="35" t="str">
        <f>IF($A29="","",IFERROR(AVERAGEIFS(NPI진행현황!$G$2:$G$300,NPI진행현황!$A$2:$A$300,$A29,NPI진행현황!$B$2:$B$300,"SW-*"),"-"))</f>
        <v/>
      </c>
      <c r="J29" s="33" t="str">
        <f>IF($A29="","",COUNTIFS(NPI진행현황!$A$2:$A$300,$A29,NPI진행현황!$F$2:$F$300,"기획"))</f>
        <v/>
      </c>
      <c r="K29" s="33" t="str">
        <f>IF($A29="","",COUNTIFS(NPI진행현황!$A$2:$A$300,$A29,NPI진행현황!$F$2:$F$300,"EVT"))</f>
        <v/>
      </c>
      <c r="L29" s="33" t="str">
        <f>IF($A29="","",COUNTIFS(NPI진행현황!$A$2:$A$300,$A29,NPI진행현황!$F$2:$F$300,"DVT"))</f>
        <v/>
      </c>
      <c r="M29" s="33" t="str">
        <f>IF($A29="","",COUNTIFS(NPI진행현황!$A$2:$A$300,$A29,NPI진행현황!$F$2:$F$300,"PVT"))</f>
        <v/>
      </c>
      <c r="N29" s="33" t="str">
        <f>IF($A29="","",COUNTIFS(NPI진행현황!$A$2:$A$300,$A29,NPI진행현황!$F$2:$F$300,"MP(양산)"))</f>
        <v/>
      </c>
      <c r="O29" s="33" t="str">
        <f>IF($A29="","",COUNTIFS(NPI진행현황!$A$2:$A$300,$A29,NPI진행현황!$J$2:$J$300,"진행중")+COUNTIFS(NPI진행현황!$A$2:$A$300,$A29,NPI진행현황!$J$2:$J$300,"지연"))</f>
        <v/>
      </c>
    </row>
    <row r="30" spans="1:15" ht="15" customHeight="1">
      <c r="A30" s="33" t="str">
        <f>IF(상품마스터!A30="","",상품마스터!A30)</f>
        <v/>
      </c>
      <c r="B30" s="33" t="str">
        <f>IF($A30="","",상품마스터!B30)</f>
        <v/>
      </c>
      <c r="C30" s="33" t="str">
        <f>IF($A30="","",상품마스터!D30)</f>
        <v/>
      </c>
      <c r="D30" s="33" t="str">
        <f>IF($A30="","",COUNTIFS(NPI진행현황!$A$2:$A$300,$A30))</f>
        <v/>
      </c>
      <c r="E30" s="35" t="str">
        <f>IF($A30="","",IFERROR(AVERAGEIFS(NPI진행현황!$G$2:$G$300,NPI진행현황!$A$2:$A$300,$A30),"-"))</f>
        <v/>
      </c>
      <c r="F30" s="35" t="str">
        <f>IF($A30="","",IFERROR(AVERAGEIFS(NPI진행현황!$G$2:$G$300,NPI진행현황!$A$2:$A$300,$A30,NPI진행현황!$B$2:$B$300,"CV-*"),"-"))</f>
        <v/>
      </c>
      <c r="G30" s="35" t="str">
        <f>IF($A30="","",IFERROR(AVERAGEIFS(NPI진행현황!$G$2:$G$300,NPI진행현황!$A$2:$A$300,$A30,NPI진행현황!$B$2:$B$300,"CT-*"),"-"))</f>
        <v/>
      </c>
      <c r="H30" s="35" t="str">
        <f>IF($A30="","",IFERROR(AVERAGEIFS(NPI진행현황!$G$2:$G$300,NPI진행현황!$A$2:$A$300,$A30,NPI진행현황!$B$2:$B$300,"PK-*"),"-"))</f>
        <v/>
      </c>
      <c r="I30" s="35" t="str">
        <f>IF($A30="","",IFERROR(AVERAGEIFS(NPI진행현황!$G$2:$G$300,NPI진행현황!$A$2:$A$300,$A30,NPI진행현황!$B$2:$B$300,"SW-*"),"-"))</f>
        <v/>
      </c>
      <c r="J30" s="33" t="str">
        <f>IF($A30="","",COUNTIFS(NPI진행현황!$A$2:$A$300,$A30,NPI진행현황!$F$2:$F$300,"기획"))</f>
        <v/>
      </c>
      <c r="K30" s="33" t="str">
        <f>IF($A30="","",COUNTIFS(NPI진행현황!$A$2:$A$300,$A30,NPI진행현황!$F$2:$F$300,"EVT"))</f>
        <v/>
      </c>
      <c r="L30" s="33" t="str">
        <f>IF($A30="","",COUNTIFS(NPI진행현황!$A$2:$A$300,$A30,NPI진행현황!$F$2:$F$300,"DVT"))</f>
        <v/>
      </c>
      <c r="M30" s="33" t="str">
        <f>IF($A30="","",COUNTIFS(NPI진행현황!$A$2:$A$300,$A30,NPI진행현황!$F$2:$F$300,"PVT"))</f>
        <v/>
      </c>
      <c r="N30" s="33" t="str">
        <f>IF($A30="","",COUNTIFS(NPI진행현황!$A$2:$A$300,$A30,NPI진행현황!$F$2:$F$300,"MP(양산)"))</f>
        <v/>
      </c>
      <c r="O30" s="33" t="str">
        <f>IF($A30="","",COUNTIFS(NPI진행현황!$A$2:$A$300,$A30,NPI진행현황!$J$2:$J$300,"진행중")+COUNTIFS(NPI진행현황!$A$2:$A$300,$A30,NPI진행현황!$J$2:$J$300,"지연"))</f>
        <v/>
      </c>
    </row>
    <row r="31" spans="1:15" ht="15" customHeight="1">
      <c r="A31" s="33" t="str">
        <f>IF(상품마스터!A31="","",상품마스터!A31)</f>
        <v/>
      </c>
      <c r="B31" s="33" t="str">
        <f>IF($A31="","",상품마스터!B31)</f>
        <v/>
      </c>
      <c r="C31" s="33" t="str">
        <f>IF($A31="","",상품마스터!D31)</f>
        <v/>
      </c>
      <c r="D31" s="33" t="str">
        <f>IF($A31="","",COUNTIFS(NPI진행현황!$A$2:$A$300,$A31))</f>
        <v/>
      </c>
      <c r="E31" s="35" t="str">
        <f>IF($A31="","",IFERROR(AVERAGEIFS(NPI진행현황!$G$2:$G$300,NPI진행현황!$A$2:$A$300,$A31),"-"))</f>
        <v/>
      </c>
      <c r="F31" s="35" t="str">
        <f>IF($A31="","",IFERROR(AVERAGEIFS(NPI진행현황!$G$2:$G$300,NPI진행현황!$A$2:$A$300,$A31,NPI진행현황!$B$2:$B$300,"CV-*"),"-"))</f>
        <v/>
      </c>
      <c r="G31" s="35" t="str">
        <f>IF($A31="","",IFERROR(AVERAGEIFS(NPI진행현황!$G$2:$G$300,NPI진행현황!$A$2:$A$300,$A31,NPI진행현황!$B$2:$B$300,"CT-*"),"-"))</f>
        <v/>
      </c>
      <c r="H31" s="35" t="str">
        <f>IF($A31="","",IFERROR(AVERAGEIFS(NPI진행현황!$G$2:$G$300,NPI진행현황!$A$2:$A$300,$A31,NPI진행현황!$B$2:$B$300,"PK-*"),"-"))</f>
        <v/>
      </c>
      <c r="I31" s="35" t="str">
        <f>IF($A31="","",IFERROR(AVERAGEIFS(NPI진행현황!$G$2:$G$300,NPI진행현황!$A$2:$A$300,$A31,NPI진행현황!$B$2:$B$300,"SW-*"),"-"))</f>
        <v/>
      </c>
      <c r="J31" s="33" t="str">
        <f>IF($A31="","",COUNTIFS(NPI진행현황!$A$2:$A$300,$A31,NPI진행현황!$F$2:$F$300,"기획"))</f>
        <v/>
      </c>
      <c r="K31" s="33" t="str">
        <f>IF($A31="","",COUNTIFS(NPI진행현황!$A$2:$A$300,$A31,NPI진행현황!$F$2:$F$300,"EVT"))</f>
        <v/>
      </c>
      <c r="L31" s="33" t="str">
        <f>IF($A31="","",COUNTIFS(NPI진행현황!$A$2:$A$300,$A31,NPI진행현황!$F$2:$F$300,"DVT"))</f>
        <v/>
      </c>
      <c r="M31" s="33" t="str">
        <f>IF($A31="","",COUNTIFS(NPI진행현황!$A$2:$A$300,$A31,NPI진행현황!$F$2:$F$300,"PVT"))</f>
        <v/>
      </c>
      <c r="N31" s="33" t="str">
        <f>IF($A31="","",COUNTIFS(NPI진행현황!$A$2:$A$300,$A31,NPI진행현황!$F$2:$F$300,"MP(양산)"))</f>
        <v/>
      </c>
      <c r="O31" s="33" t="str">
        <f>IF($A31="","",COUNTIFS(NPI진행현황!$A$2:$A$300,$A31,NPI진행현황!$J$2:$J$300,"진행중")+COUNTIFS(NPI진행현황!$A$2:$A$300,$A31,NPI진행현황!$J$2:$J$300,"지연"))</f>
        <v/>
      </c>
    </row>
    <row r="32" spans="1:15" ht="15" customHeight="1">
      <c r="A32" s="33" t="str">
        <f>IF(상품마스터!A32="","",상품마스터!A32)</f>
        <v/>
      </c>
      <c r="B32" s="33" t="str">
        <f>IF($A32="","",상품마스터!B32)</f>
        <v/>
      </c>
      <c r="C32" s="33" t="str">
        <f>IF($A32="","",상품마스터!D32)</f>
        <v/>
      </c>
      <c r="D32" s="33" t="str">
        <f>IF($A32="","",COUNTIFS(NPI진행현황!$A$2:$A$300,$A32))</f>
        <v/>
      </c>
      <c r="E32" s="35" t="str">
        <f>IF($A32="","",IFERROR(AVERAGEIFS(NPI진행현황!$G$2:$G$300,NPI진행현황!$A$2:$A$300,$A32),"-"))</f>
        <v/>
      </c>
      <c r="F32" s="35" t="str">
        <f>IF($A32="","",IFERROR(AVERAGEIFS(NPI진행현황!$G$2:$G$300,NPI진행현황!$A$2:$A$300,$A32,NPI진행현황!$B$2:$B$300,"CV-*"),"-"))</f>
        <v/>
      </c>
      <c r="G32" s="35" t="str">
        <f>IF($A32="","",IFERROR(AVERAGEIFS(NPI진행현황!$G$2:$G$300,NPI진행현황!$A$2:$A$300,$A32,NPI진행현황!$B$2:$B$300,"CT-*"),"-"))</f>
        <v/>
      </c>
      <c r="H32" s="35" t="str">
        <f>IF($A32="","",IFERROR(AVERAGEIFS(NPI진행현황!$G$2:$G$300,NPI진행현황!$A$2:$A$300,$A32,NPI진행현황!$B$2:$B$300,"PK-*"),"-"))</f>
        <v/>
      </c>
      <c r="I32" s="35" t="str">
        <f>IF($A32="","",IFERROR(AVERAGEIFS(NPI진행현황!$G$2:$G$300,NPI진행현황!$A$2:$A$300,$A32,NPI진행현황!$B$2:$B$300,"SW-*"),"-"))</f>
        <v/>
      </c>
      <c r="J32" s="33" t="str">
        <f>IF($A32="","",COUNTIFS(NPI진행현황!$A$2:$A$300,$A32,NPI진행현황!$F$2:$F$300,"기획"))</f>
        <v/>
      </c>
      <c r="K32" s="33" t="str">
        <f>IF($A32="","",COUNTIFS(NPI진행현황!$A$2:$A$300,$A32,NPI진행현황!$F$2:$F$300,"EVT"))</f>
        <v/>
      </c>
      <c r="L32" s="33" t="str">
        <f>IF($A32="","",COUNTIFS(NPI진행현황!$A$2:$A$300,$A32,NPI진행현황!$F$2:$F$300,"DVT"))</f>
        <v/>
      </c>
      <c r="M32" s="33" t="str">
        <f>IF($A32="","",COUNTIFS(NPI진행현황!$A$2:$A$300,$A32,NPI진행현황!$F$2:$F$300,"PVT"))</f>
        <v/>
      </c>
      <c r="N32" s="33" t="str">
        <f>IF($A32="","",COUNTIFS(NPI진행현황!$A$2:$A$300,$A32,NPI진행현황!$F$2:$F$300,"MP(양산)"))</f>
        <v/>
      </c>
      <c r="O32" s="33" t="str">
        <f>IF($A32="","",COUNTIFS(NPI진행현황!$A$2:$A$300,$A32,NPI진행현황!$J$2:$J$300,"진행중")+COUNTIFS(NPI진행현황!$A$2:$A$300,$A32,NPI진행현황!$J$2:$J$300,"지연"))</f>
        <v/>
      </c>
    </row>
    <row r="33" spans="1:15" ht="15" customHeight="1">
      <c r="A33" s="33" t="str">
        <f>IF(상품마스터!A33="","",상품마스터!A33)</f>
        <v/>
      </c>
      <c r="B33" s="33" t="str">
        <f>IF($A33="","",상품마스터!B33)</f>
        <v/>
      </c>
      <c r="C33" s="33" t="str">
        <f>IF($A33="","",상품마스터!D33)</f>
        <v/>
      </c>
      <c r="D33" s="33" t="str">
        <f>IF($A33="","",COUNTIFS(NPI진행현황!$A$2:$A$300,$A33))</f>
        <v/>
      </c>
      <c r="E33" s="35" t="str">
        <f>IF($A33="","",IFERROR(AVERAGEIFS(NPI진행현황!$G$2:$G$300,NPI진행현황!$A$2:$A$300,$A33),"-"))</f>
        <v/>
      </c>
      <c r="F33" s="35" t="str">
        <f>IF($A33="","",IFERROR(AVERAGEIFS(NPI진행현황!$G$2:$G$300,NPI진행현황!$A$2:$A$300,$A33,NPI진행현황!$B$2:$B$300,"CV-*"),"-"))</f>
        <v/>
      </c>
      <c r="G33" s="35" t="str">
        <f>IF($A33="","",IFERROR(AVERAGEIFS(NPI진행현황!$G$2:$G$300,NPI진행현황!$A$2:$A$300,$A33,NPI진행현황!$B$2:$B$300,"CT-*"),"-"))</f>
        <v/>
      </c>
      <c r="H33" s="35" t="str">
        <f>IF($A33="","",IFERROR(AVERAGEIFS(NPI진행현황!$G$2:$G$300,NPI진행현황!$A$2:$A$300,$A33,NPI진행현황!$B$2:$B$300,"PK-*"),"-"))</f>
        <v/>
      </c>
      <c r="I33" s="35" t="str">
        <f>IF($A33="","",IFERROR(AVERAGEIFS(NPI진행현황!$G$2:$G$300,NPI진행현황!$A$2:$A$300,$A33,NPI진행현황!$B$2:$B$300,"SW-*"),"-"))</f>
        <v/>
      </c>
      <c r="J33" s="33" t="str">
        <f>IF($A33="","",COUNTIFS(NPI진행현황!$A$2:$A$300,$A33,NPI진행현황!$F$2:$F$300,"기획"))</f>
        <v/>
      </c>
      <c r="K33" s="33" t="str">
        <f>IF($A33="","",COUNTIFS(NPI진행현황!$A$2:$A$300,$A33,NPI진행현황!$F$2:$F$300,"EVT"))</f>
        <v/>
      </c>
      <c r="L33" s="33" t="str">
        <f>IF($A33="","",COUNTIFS(NPI진행현황!$A$2:$A$300,$A33,NPI진행현황!$F$2:$F$300,"DVT"))</f>
        <v/>
      </c>
      <c r="M33" s="33" t="str">
        <f>IF($A33="","",COUNTIFS(NPI진행현황!$A$2:$A$300,$A33,NPI진행현황!$F$2:$F$300,"PVT"))</f>
        <v/>
      </c>
      <c r="N33" s="33" t="str">
        <f>IF($A33="","",COUNTIFS(NPI진행현황!$A$2:$A$300,$A33,NPI진행현황!$F$2:$F$300,"MP(양산)"))</f>
        <v/>
      </c>
      <c r="O33" s="33" t="str">
        <f>IF($A33="","",COUNTIFS(NPI진행현황!$A$2:$A$300,$A33,NPI진행현황!$J$2:$J$300,"진행중")+COUNTIFS(NPI진행현황!$A$2:$A$300,$A33,NPI진행현황!$J$2:$J$300,"지연"))</f>
        <v/>
      </c>
    </row>
    <row r="34" spans="1:15" ht="15" customHeight="1">
      <c r="A34" s="33" t="str">
        <f>IF(상품마스터!A34="","",상품마스터!A34)</f>
        <v/>
      </c>
      <c r="B34" s="33" t="str">
        <f>IF($A34="","",상품마스터!B34)</f>
        <v/>
      </c>
      <c r="C34" s="33" t="str">
        <f>IF($A34="","",상품마스터!D34)</f>
        <v/>
      </c>
      <c r="D34" s="33" t="str">
        <f>IF($A34="","",COUNTIFS(NPI진행현황!$A$2:$A$300,$A34))</f>
        <v/>
      </c>
      <c r="E34" s="35" t="str">
        <f>IF($A34="","",IFERROR(AVERAGEIFS(NPI진행현황!$G$2:$G$300,NPI진행현황!$A$2:$A$300,$A34),"-"))</f>
        <v/>
      </c>
      <c r="F34" s="35" t="str">
        <f>IF($A34="","",IFERROR(AVERAGEIFS(NPI진행현황!$G$2:$G$300,NPI진행현황!$A$2:$A$300,$A34,NPI진행현황!$B$2:$B$300,"CV-*"),"-"))</f>
        <v/>
      </c>
      <c r="G34" s="35" t="str">
        <f>IF($A34="","",IFERROR(AVERAGEIFS(NPI진행현황!$G$2:$G$300,NPI진행현황!$A$2:$A$300,$A34,NPI진행현황!$B$2:$B$300,"CT-*"),"-"))</f>
        <v/>
      </c>
      <c r="H34" s="35" t="str">
        <f>IF($A34="","",IFERROR(AVERAGEIFS(NPI진행현황!$G$2:$G$300,NPI진행현황!$A$2:$A$300,$A34,NPI진행현황!$B$2:$B$300,"PK-*"),"-"))</f>
        <v/>
      </c>
      <c r="I34" s="35" t="str">
        <f>IF($A34="","",IFERROR(AVERAGEIFS(NPI진행현황!$G$2:$G$300,NPI진행현황!$A$2:$A$300,$A34,NPI진행현황!$B$2:$B$300,"SW-*"),"-"))</f>
        <v/>
      </c>
      <c r="J34" s="33" t="str">
        <f>IF($A34="","",COUNTIFS(NPI진행현황!$A$2:$A$300,$A34,NPI진행현황!$F$2:$F$300,"기획"))</f>
        <v/>
      </c>
      <c r="K34" s="33" t="str">
        <f>IF($A34="","",COUNTIFS(NPI진행현황!$A$2:$A$300,$A34,NPI진행현황!$F$2:$F$300,"EVT"))</f>
        <v/>
      </c>
      <c r="L34" s="33" t="str">
        <f>IF($A34="","",COUNTIFS(NPI진행현황!$A$2:$A$300,$A34,NPI진행현황!$F$2:$F$300,"DVT"))</f>
        <v/>
      </c>
      <c r="M34" s="33" t="str">
        <f>IF($A34="","",COUNTIFS(NPI진행현황!$A$2:$A$300,$A34,NPI진행현황!$F$2:$F$300,"PVT"))</f>
        <v/>
      </c>
      <c r="N34" s="33" t="str">
        <f>IF($A34="","",COUNTIFS(NPI진행현황!$A$2:$A$300,$A34,NPI진행현황!$F$2:$F$300,"MP(양산)"))</f>
        <v/>
      </c>
      <c r="O34" s="33" t="str">
        <f>IF($A34="","",COUNTIFS(NPI진행현황!$A$2:$A$300,$A34,NPI진행현황!$J$2:$J$300,"진행중")+COUNTIFS(NPI진행현황!$A$2:$A$300,$A34,NPI진행현황!$J$2:$J$300,"지연"))</f>
        <v/>
      </c>
    </row>
    <row r="35" spans="1:15" ht="15" customHeight="1">
      <c r="A35" s="33" t="str">
        <f>IF(상품마스터!A35="","",상품마스터!A35)</f>
        <v/>
      </c>
      <c r="B35" s="33" t="str">
        <f>IF($A35="","",상품마스터!B35)</f>
        <v/>
      </c>
      <c r="C35" s="33" t="str">
        <f>IF($A35="","",상품마스터!D35)</f>
        <v/>
      </c>
      <c r="D35" s="33" t="str">
        <f>IF($A35="","",COUNTIFS(NPI진행현황!$A$2:$A$300,$A35))</f>
        <v/>
      </c>
      <c r="E35" s="35" t="str">
        <f>IF($A35="","",IFERROR(AVERAGEIFS(NPI진행현황!$G$2:$G$300,NPI진행현황!$A$2:$A$300,$A35),"-"))</f>
        <v/>
      </c>
      <c r="F35" s="35" t="str">
        <f>IF($A35="","",IFERROR(AVERAGEIFS(NPI진행현황!$G$2:$G$300,NPI진행현황!$A$2:$A$300,$A35,NPI진행현황!$B$2:$B$300,"CV-*"),"-"))</f>
        <v/>
      </c>
      <c r="G35" s="35" t="str">
        <f>IF($A35="","",IFERROR(AVERAGEIFS(NPI진행현황!$G$2:$G$300,NPI진행현황!$A$2:$A$300,$A35,NPI진행현황!$B$2:$B$300,"CT-*"),"-"))</f>
        <v/>
      </c>
      <c r="H35" s="35" t="str">
        <f>IF($A35="","",IFERROR(AVERAGEIFS(NPI진행현황!$G$2:$G$300,NPI진행현황!$A$2:$A$300,$A35,NPI진행현황!$B$2:$B$300,"PK-*"),"-"))</f>
        <v/>
      </c>
      <c r="I35" s="35" t="str">
        <f>IF($A35="","",IFERROR(AVERAGEIFS(NPI진행현황!$G$2:$G$300,NPI진행현황!$A$2:$A$300,$A35,NPI진행현황!$B$2:$B$300,"SW-*"),"-"))</f>
        <v/>
      </c>
      <c r="J35" s="33" t="str">
        <f>IF($A35="","",COUNTIFS(NPI진행현황!$A$2:$A$300,$A35,NPI진행현황!$F$2:$F$300,"기획"))</f>
        <v/>
      </c>
      <c r="K35" s="33" t="str">
        <f>IF($A35="","",COUNTIFS(NPI진행현황!$A$2:$A$300,$A35,NPI진행현황!$F$2:$F$300,"EVT"))</f>
        <v/>
      </c>
      <c r="L35" s="33" t="str">
        <f>IF($A35="","",COUNTIFS(NPI진행현황!$A$2:$A$300,$A35,NPI진행현황!$F$2:$F$300,"DVT"))</f>
        <v/>
      </c>
      <c r="M35" s="33" t="str">
        <f>IF($A35="","",COUNTIFS(NPI진행현황!$A$2:$A$300,$A35,NPI진행현황!$F$2:$F$300,"PVT"))</f>
        <v/>
      </c>
      <c r="N35" s="33" t="str">
        <f>IF($A35="","",COUNTIFS(NPI진행현황!$A$2:$A$300,$A35,NPI진행현황!$F$2:$F$300,"MP(양산)"))</f>
        <v/>
      </c>
      <c r="O35" s="33" t="str">
        <f>IF($A35="","",COUNTIFS(NPI진행현황!$A$2:$A$300,$A35,NPI진행현황!$J$2:$J$300,"진행중")+COUNTIFS(NPI진행현황!$A$2:$A$300,$A35,NPI진행현황!$J$2:$J$300,"지연"))</f>
        <v/>
      </c>
    </row>
    <row r="36" spans="1:15" ht="15" customHeight="1">
      <c r="A36" s="33" t="str">
        <f>IF(상품마스터!A36="","",상품마스터!A36)</f>
        <v/>
      </c>
      <c r="B36" s="33" t="str">
        <f>IF($A36="","",상품마스터!B36)</f>
        <v/>
      </c>
      <c r="C36" s="33" t="str">
        <f>IF($A36="","",상품마스터!D36)</f>
        <v/>
      </c>
      <c r="D36" s="33" t="str">
        <f>IF($A36="","",COUNTIFS(NPI진행현황!$A$2:$A$300,$A36))</f>
        <v/>
      </c>
      <c r="E36" s="35" t="str">
        <f>IF($A36="","",IFERROR(AVERAGEIFS(NPI진행현황!$G$2:$G$300,NPI진행현황!$A$2:$A$300,$A36),"-"))</f>
        <v/>
      </c>
      <c r="F36" s="35" t="str">
        <f>IF($A36="","",IFERROR(AVERAGEIFS(NPI진행현황!$G$2:$G$300,NPI진행현황!$A$2:$A$300,$A36,NPI진행현황!$B$2:$B$300,"CV-*"),"-"))</f>
        <v/>
      </c>
      <c r="G36" s="35" t="str">
        <f>IF($A36="","",IFERROR(AVERAGEIFS(NPI진행현황!$G$2:$G$300,NPI진행현황!$A$2:$A$300,$A36,NPI진행현황!$B$2:$B$300,"CT-*"),"-"))</f>
        <v/>
      </c>
      <c r="H36" s="35" t="str">
        <f>IF($A36="","",IFERROR(AVERAGEIFS(NPI진행현황!$G$2:$G$300,NPI진행현황!$A$2:$A$300,$A36,NPI진행현황!$B$2:$B$300,"PK-*"),"-"))</f>
        <v/>
      </c>
      <c r="I36" s="35" t="str">
        <f>IF($A36="","",IFERROR(AVERAGEIFS(NPI진행현황!$G$2:$G$300,NPI진행현황!$A$2:$A$300,$A36,NPI진행현황!$B$2:$B$300,"SW-*"),"-"))</f>
        <v/>
      </c>
      <c r="J36" s="33" t="str">
        <f>IF($A36="","",COUNTIFS(NPI진행현황!$A$2:$A$300,$A36,NPI진행현황!$F$2:$F$300,"기획"))</f>
        <v/>
      </c>
      <c r="K36" s="33" t="str">
        <f>IF($A36="","",COUNTIFS(NPI진행현황!$A$2:$A$300,$A36,NPI진행현황!$F$2:$F$300,"EVT"))</f>
        <v/>
      </c>
      <c r="L36" s="33" t="str">
        <f>IF($A36="","",COUNTIFS(NPI진행현황!$A$2:$A$300,$A36,NPI진행현황!$F$2:$F$300,"DVT"))</f>
        <v/>
      </c>
      <c r="M36" s="33" t="str">
        <f>IF($A36="","",COUNTIFS(NPI진행현황!$A$2:$A$300,$A36,NPI진행현황!$F$2:$F$300,"PVT"))</f>
        <v/>
      </c>
      <c r="N36" s="33" t="str">
        <f>IF($A36="","",COUNTIFS(NPI진행현황!$A$2:$A$300,$A36,NPI진행현황!$F$2:$F$300,"MP(양산)"))</f>
        <v/>
      </c>
      <c r="O36" s="33" t="str">
        <f>IF($A36="","",COUNTIFS(NPI진행현황!$A$2:$A$300,$A36,NPI진행현황!$J$2:$J$300,"진행중")+COUNTIFS(NPI진행현황!$A$2:$A$300,$A36,NPI진행현황!$J$2:$J$300,"지연"))</f>
        <v/>
      </c>
    </row>
    <row r="37" spans="1:15" ht="15" customHeight="1">
      <c r="A37" s="33" t="str">
        <f>IF(상품마스터!A37="","",상품마스터!A37)</f>
        <v/>
      </c>
      <c r="B37" s="33" t="str">
        <f>IF($A37="","",상품마스터!B37)</f>
        <v/>
      </c>
      <c r="C37" s="33" t="str">
        <f>IF($A37="","",상품마스터!D37)</f>
        <v/>
      </c>
      <c r="D37" s="33" t="str">
        <f>IF($A37="","",COUNTIFS(NPI진행현황!$A$2:$A$300,$A37))</f>
        <v/>
      </c>
      <c r="E37" s="35" t="str">
        <f>IF($A37="","",IFERROR(AVERAGEIFS(NPI진행현황!$G$2:$G$300,NPI진행현황!$A$2:$A$300,$A37),"-"))</f>
        <v/>
      </c>
      <c r="F37" s="35" t="str">
        <f>IF($A37="","",IFERROR(AVERAGEIFS(NPI진행현황!$G$2:$G$300,NPI진행현황!$A$2:$A$300,$A37,NPI진행현황!$B$2:$B$300,"CV-*"),"-"))</f>
        <v/>
      </c>
      <c r="G37" s="35" t="str">
        <f>IF($A37="","",IFERROR(AVERAGEIFS(NPI진행현황!$G$2:$G$300,NPI진행현황!$A$2:$A$300,$A37,NPI진행현황!$B$2:$B$300,"CT-*"),"-"))</f>
        <v/>
      </c>
      <c r="H37" s="35" t="str">
        <f>IF($A37="","",IFERROR(AVERAGEIFS(NPI진행현황!$G$2:$G$300,NPI진행현황!$A$2:$A$300,$A37,NPI진행현황!$B$2:$B$300,"PK-*"),"-"))</f>
        <v/>
      </c>
      <c r="I37" s="35" t="str">
        <f>IF($A37="","",IFERROR(AVERAGEIFS(NPI진행현황!$G$2:$G$300,NPI진행현황!$A$2:$A$300,$A37,NPI진행현황!$B$2:$B$300,"SW-*"),"-"))</f>
        <v/>
      </c>
      <c r="J37" s="33" t="str">
        <f>IF($A37="","",COUNTIFS(NPI진행현황!$A$2:$A$300,$A37,NPI진행현황!$F$2:$F$300,"기획"))</f>
        <v/>
      </c>
      <c r="K37" s="33" t="str">
        <f>IF($A37="","",COUNTIFS(NPI진행현황!$A$2:$A$300,$A37,NPI진행현황!$F$2:$F$300,"EVT"))</f>
        <v/>
      </c>
      <c r="L37" s="33" t="str">
        <f>IF($A37="","",COUNTIFS(NPI진행현황!$A$2:$A$300,$A37,NPI진행현황!$F$2:$F$300,"DVT"))</f>
        <v/>
      </c>
      <c r="M37" s="33" t="str">
        <f>IF($A37="","",COUNTIFS(NPI진행현황!$A$2:$A$300,$A37,NPI진행현황!$F$2:$F$300,"PVT"))</f>
        <v/>
      </c>
      <c r="N37" s="33" t="str">
        <f>IF($A37="","",COUNTIFS(NPI진행현황!$A$2:$A$300,$A37,NPI진행현황!$F$2:$F$300,"MP(양산)"))</f>
        <v/>
      </c>
      <c r="O37" s="33" t="str">
        <f>IF($A37="","",COUNTIFS(NPI진행현황!$A$2:$A$300,$A37,NPI진행현황!$J$2:$J$300,"진행중")+COUNTIFS(NPI진행현황!$A$2:$A$300,$A37,NPI진행현황!$J$2:$J$300,"지연"))</f>
        <v/>
      </c>
    </row>
    <row r="38" spans="1:15" ht="15" customHeight="1">
      <c r="A38" s="33" t="str">
        <f>IF(상품마스터!A38="","",상품마스터!A38)</f>
        <v/>
      </c>
      <c r="B38" s="33" t="str">
        <f>IF($A38="","",상품마스터!B38)</f>
        <v/>
      </c>
      <c r="C38" s="33" t="str">
        <f>IF($A38="","",상품마스터!D38)</f>
        <v/>
      </c>
      <c r="D38" s="33" t="str">
        <f>IF($A38="","",COUNTIFS(NPI진행현황!$A$2:$A$300,$A38))</f>
        <v/>
      </c>
      <c r="E38" s="35" t="str">
        <f>IF($A38="","",IFERROR(AVERAGEIFS(NPI진행현황!$G$2:$G$300,NPI진행현황!$A$2:$A$300,$A38),"-"))</f>
        <v/>
      </c>
      <c r="F38" s="35" t="str">
        <f>IF($A38="","",IFERROR(AVERAGEIFS(NPI진행현황!$G$2:$G$300,NPI진행현황!$A$2:$A$300,$A38,NPI진행현황!$B$2:$B$300,"CV-*"),"-"))</f>
        <v/>
      </c>
      <c r="G38" s="35" t="str">
        <f>IF($A38="","",IFERROR(AVERAGEIFS(NPI진행현황!$G$2:$G$300,NPI진행현황!$A$2:$A$300,$A38,NPI진행현황!$B$2:$B$300,"CT-*"),"-"))</f>
        <v/>
      </c>
      <c r="H38" s="35" t="str">
        <f>IF($A38="","",IFERROR(AVERAGEIFS(NPI진행현황!$G$2:$G$300,NPI진행현황!$A$2:$A$300,$A38,NPI진행현황!$B$2:$B$300,"PK-*"),"-"))</f>
        <v/>
      </c>
      <c r="I38" s="35" t="str">
        <f>IF($A38="","",IFERROR(AVERAGEIFS(NPI진행현황!$G$2:$G$300,NPI진행현황!$A$2:$A$300,$A38,NPI진행현황!$B$2:$B$300,"SW-*"),"-"))</f>
        <v/>
      </c>
      <c r="J38" s="33" t="str">
        <f>IF($A38="","",COUNTIFS(NPI진행현황!$A$2:$A$300,$A38,NPI진행현황!$F$2:$F$300,"기획"))</f>
        <v/>
      </c>
      <c r="K38" s="33" t="str">
        <f>IF($A38="","",COUNTIFS(NPI진행현황!$A$2:$A$300,$A38,NPI진행현황!$F$2:$F$300,"EVT"))</f>
        <v/>
      </c>
      <c r="L38" s="33" t="str">
        <f>IF($A38="","",COUNTIFS(NPI진행현황!$A$2:$A$300,$A38,NPI진행현황!$F$2:$F$300,"DVT"))</f>
        <v/>
      </c>
      <c r="M38" s="33" t="str">
        <f>IF($A38="","",COUNTIFS(NPI진행현황!$A$2:$A$300,$A38,NPI진행현황!$F$2:$F$300,"PVT"))</f>
        <v/>
      </c>
      <c r="N38" s="33" t="str">
        <f>IF($A38="","",COUNTIFS(NPI진행현황!$A$2:$A$300,$A38,NPI진행현황!$F$2:$F$300,"MP(양산)"))</f>
        <v/>
      </c>
      <c r="O38" s="33" t="str">
        <f>IF($A38="","",COUNTIFS(NPI진행현황!$A$2:$A$300,$A38,NPI진행현황!$J$2:$J$300,"진행중")+COUNTIFS(NPI진행현황!$A$2:$A$300,$A38,NPI진행현황!$J$2:$J$300,"지연"))</f>
        <v/>
      </c>
    </row>
    <row r="39" spans="1:15" ht="15" customHeight="1">
      <c r="A39" s="33" t="str">
        <f>IF(상품마스터!A39="","",상품마스터!A39)</f>
        <v/>
      </c>
      <c r="B39" s="33" t="str">
        <f>IF($A39="","",상품마스터!B39)</f>
        <v/>
      </c>
      <c r="C39" s="33" t="str">
        <f>IF($A39="","",상품마스터!D39)</f>
        <v/>
      </c>
      <c r="D39" s="33" t="str">
        <f>IF($A39="","",COUNTIFS(NPI진행현황!$A$2:$A$300,$A39))</f>
        <v/>
      </c>
      <c r="E39" s="35" t="str">
        <f>IF($A39="","",IFERROR(AVERAGEIFS(NPI진행현황!$G$2:$G$300,NPI진행현황!$A$2:$A$300,$A39),"-"))</f>
        <v/>
      </c>
      <c r="F39" s="35" t="str">
        <f>IF($A39="","",IFERROR(AVERAGEIFS(NPI진행현황!$G$2:$G$300,NPI진행현황!$A$2:$A$300,$A39,NPI진행현황!$B$2:$B$300,"CV-*"),"-"))</f>
        <v/>
      </c>
      <c r="G39" s="35" t="str">
        <f>IF($A39="","",IFERROR(AVERAGEIFS(NPI진행현황!$G$2:$G$300,NPI진행현황!$A$2:$A$300,$A39,NPI진행현황!$B$2:$B$300,"CT-*"),"-"))</f>
        <v/>
      </c>
      <c r="H39" s="35" t="str">
        <f>IF($A39="","",IFERROR(AVERAGEIFS(NPI진행현황!$G$2:$G$300,NPI진행현황!$A$2:$A$300,$A39,NPI진행현황!$B$2:$B$300,"PK-*"),"-"))</f>
        <v/>
      </c>
      <c r="I39" s="35" t="str">
        <f>IF($A39="","",IFERROR(AVERAGEIFS(NPI진행현황!$G$2:$G$300,NPI진행현황!$A$2:$A$300,$A39,NPI진행현황!$B$2:$B$300,"SW-*"),"-"))</f>
        <v/>
      </c>
      <c r="J39" s="33" t="str">
        <f>IF($A39="","",COUNTIFS(NPI진행현황!$A$2:$A$300,$A39,NPI진행현황!$F$2:$F$300,"기획"))</f>
        <v/>
      </c>
      <c r="K39" s="33" t="str">
        <f>IF($A39="","",COUNTIFS(NPI진행현황!$A$2:$A$300,$A39,NPI진행현황!$F$2:$F$300,"EVT"))</f>
        <v/>
      </c>
      <c r="L39" s="33" t="str">
        <f>IF($A39="","",COUNTIFS(NPI진행현황!$A$2:$A$300,$A39,NPI진행현황!$F$2:$F$300,"DVT"))</f>
        <v/>
      </c>
      <c r="M39" s="33" t="str">
        <f>IF($A39="","",COUNTIFS(NPI진행현황!$A$2:$A$300,$A39,NPI진행현황!$F$2:$F$300,"PVT"))</f>
        <v/>
      </c>
      <c r="N39" s="33" t="str">
        <f>IF($A39="","",COUNTIFS(NPI진행현황!$A$2:$A$300,$A39,NPI진행현황!$F$2:$F$300,"MP(양산)"))</f>
        <v/>
      </c>
      <c r="O39" s="33" t="str">
        <f>IF($A39="","",COUNTIFS(NPI진행현황!$A$2:$A$300,$A39,NPI진행현황!$J$2:$J$300,"진행중")+COUNTIFS(NPI진행현황!$A$2:$A$300,$A39,NPI진행현황!$J$2:$J$300,"지연"))</f>
        <v/>
      </c>
    </row>
    <row r="40" spans="1:15" ht="15" customHeight="1">
      <c r="A40" s="33" t="str">
        <f>IF(상품마스터!A40="","",상품마스터!A40)</f>
        <v/>
      </c>
      <c r="B40" s="33" t="str">
        <f>IF($A40="","",상품마스터!B40)</f>
        <v/>
      </c>
      <c r="C40" s="33" t="str">
        <f>IF($A40="","",상품마스터!D40)</f>
        <v/>
      </c>
      <c r="D40" s="33" t="str">
        <f>IF($A40="","",COUNTIFS(NPI진행현황!$A$2:$A$300,$A40))</f>
        <v/>
      </c>
      <c r="E40" s="35" t="str">
        <f>IF($A40="","",IFERROR(AVERAGEIFS(NPI진행현황!$G$2:$G$300,NPI진행현황!$A$2:$A$300,$A40),"-"))</f>
        <v/>
      </c>
      <c r="F40" s="35" t="str">
        <f>IF($A40="","",IFERROR(AVERAGEIFS(NPI진행현황!$G$2:$G$300,NPI진행현황!$A$2:$A$300,$A40,NPI진행현황!$B$2:$B$300,"CV-*"),"-"))</f>
        <v/>
      </c>
      <c r="G40" s="35" t="str">
        <f>IF($A40="","",IFERROR(AVERAGEIFS(NPI진행현황!$G$2:$G$300,NPI진행현황!$A$2:$A$300,$A40,NPI진행현황!$B$2:$B$300,"CT-*"),"-"))</f>
        <v/>
      </c>
      <c r="H40" s="35" t="str">
        <f>IF($A40="","",IFERROR(AVERAGEIFS(NPI진행현황!$G$2:$G$300,NPI진행현황!$A$2:$A$300,$A40,NPI진행현황!$B$2:$B$300,"PK-*"),"-"))</f>
        <v/>
      </c>
      <c r="I40" s="35" t="str">
        <f>IF($A40="","",IFERROR(AVERAGEIFS(NPI진행현황!$G$2:$G$300,NPI진행현황!$A$2:$A$300,$A40,NPI진행현황!$B$2:$B$300,"SW-*"),"-"))</f>
        <v/>
      </c>
      <c r="J40" s="33" t="str">
        <f>IF($A40="","",COUNTIFS(NPI진행현황!$A$2:$A$300,$A40,NPI진행현황!$F$2:$F$300,"기획"))</f>
        <v/>
      </c>
      <c r="K40" s="33" t="str">
        <f>IF($A40="","",COUNTIFS(NPI진행현황!$A$2:$A$300,$A40,NPI진행현황!$F$2:$F$300,"EVT"))</f>
        <v/>
      </c>
      <c r="L40" s="33" t="str">
        <f>IF($A40="","",COUNTIFS(NPI진행현황!$A$2:$A$300,$A40,NPI진행현황!$F$2:$F$300,"DVT"))</f>
        <v/>
      </c>
      <c r="M40" s="33" t="str">
        <f>IF($A40="","",COUNTIFS(NPI진행현황!$A$2:$A$300,$A40,NPI진행현황!$F$2:$F$300,"PVT"))</f>
        <v/>
      </c>
      <c r="N40" s="33" t="str">
        <f>IF($A40="","",COUNTIFS(NPI진행현황!$A$2:$A$300,$A40,NPI진행현황!$F$2:$F$300,"MP(양산)"))</f>
        <v/>
      </c>
      <c r="O40" s="33" t="str">
        <f>IF($A40="","",COUNTIFS(NPI진행현황!$A$2:$A$300,$A40,NPI진행현황!$J$2:$J$300,"진행중")+COUNTIFS(NPI진행현황!$A$2:$A$300,$A40,NPI진행현황!$J$2:$J$300,"지연"))</f>
        <v/>
      </c>
    </row>
    <row r="41" spans="1:15" ht="15" customHeight="1">
      <c r="A41" s="33" t="str">
        <f>IF(상품마스터!A41="","",상품마스터!A41)</f>
        <v/>
      </c>
      <c r="B41" s="33" t="str">
        <f>IF($A41="","",상품마스터!B41)</f>
        <v/>
      </c>
      <c r="C41" s="33" t="str">
        <f>IF($A41="","",상품마스터!D41)</f>
        <v/>
      </c>
      <c r="D41" s="33" t="str">
        <f>IF($A41="","",COUNTIFS(NPI진행현황!$A$2:$A$300,$A41))</f>
        <v/>
      </c>
      <c r="E41" s="35" t="str">
        <f>IF($A41="","",IFERROR(AVERAGEIFS(NPI진행현황!$G$2:$G$300,NPI진행현황!$A$2:$A$300,$A41),"-"))</f>
        <v/>
      </c>
      <c r="F41" s="35" t="str">
        <f>IF($A41="","",IFERROR(AVERAGEIFS(NPI진행현황!$G$2:$G$300,NPI진행현황!$A$2:$A$300,$A41,NPI진행현황!$B$2:$B$300,"CV-*"),"-"))</f>
        <v/>
      </c>
      <c r="G41" s="35" t="str">
        <f>IF($A41="","",IFERROR(AVERAGEIFS(NPI진행현황!$G$2:$G$300,NPI진행현황!$A$2:$A$300,$A41,NPI진행현황!$B$2:$B$300,"CT-*"),"-"))</f>
        <v/>
      </c>
      <c r="H41" s="35" t="str">
        <f>IF($A41="","",IFERROR(AVERAGEIFS(NPI진행현황!$G$2:$G$300,NPI진행현황!$A$2:$A$300,$A41,NPI진행현황!$B$2:$B$300,"PK-*"),"-"))</f>
        <v/>
      </c>
      <c r="I41" s="35" t="str">
        <f>IF($A41="","",IFERROR(AVERAGEIFS(NPI진행현황!$G$2:$G$300,NPI진행현황!$A$2:$A$300,$A41,NPI진행현황!$B$2:$B$300,"SW-*"),"-"))</f>
        <v/>
      </c>
      <c r="J41" s="33" t="str">
        <f>IF($A41="","",COUNTIFS(NPI진행현황!$A$2:$A$300,$A41,NPI진행현황!$F$2:$F$300,"기획"))</f>
        <v/>
      </c>
      <c r="K41" s="33" t="str">
        <f>IF($A41="","",COUNTIFS(NPI진행현황!$A$2:$A$300,$A41,NPI진행현황!$F$2:$F$300,"EVT"))</f>
        <v/>
      </c>
      <c r="L41" s="33" t="str">
        <f>IF($A41="","",COUNTIFS(NPI진행현황!$A$2:$A$300,$A41,NPI진행현황!$F$2:$F$300,"DVT"))</f>
        <v/>
      </c>
      <c r="M41" s="33" t="str">
        <f>IF($A41="","",COUNTIFS(NPI진행현황!$A$2:$A$300,$A41,NPI진행현황!$F$2:$F$300,"PVT"))</f>
        <v/>
      </c>
      <c r="N41" s="33" t="str">
        <f>IF($A41="","",COUNTIFS(NPI진행현황!$A$2:$A$300,$A41,NPI진행현황!$F$2:$F$300,"MP(양산)"))</f>
        <v/>
      </c>
      <c r="O41" s="33" t="str">
        <f>IF($A41="","",COUNTIFS(NPI진행현황!$A$2:$A$300,$A41,NPI진행현황!$J$2:$J$300,"진행중")+COUNTIFS(NPI진행현황!$A$2:$A$300,$A41,NPI진행현황!$J$2:$J$300,"지연"))</f>
        <v/>
      </c>
    </row>
    <row r="42" spans="1:15" ht="15" customHeight="1">
      <c r="A42" s="33" t="str">
        <f>IF(상품마스터!A42="","",상품마스터!A42)</f>
        <v/>
      </c>
      <c r="B42" s="33" t="str">
        <f>IF($A42="","",상품마스터!B42)</f>
        <v/>
      </c>
      <c r="C42" s="33" t="str">
        <f>IF($A42="","",상품마스터!D42)</f>
        <v/>
      </c>
      <c r="D42" s="33" t="str">
        <f>IF($A42="","",COUNTIFS(NPI진행현황!$A$2:$A$300,$A42))</f>
        <v/>
      </c>
      <c r="E42" s="35" t="str">
        <f>IF($A42="","",IFERROR(AVERAGEIFS(NPI진행현황!$G$2:$G$300,NPI진행현황!$A$2:$A$300,$A42),"-"))</f>
        <v/>
      </c>
      <c r="F42" s="35" t="str">
        <f>IF($A42="","",IFERROR(AVERAGEIFS(NPI진행현황!$G$2:$G$300,NPI진행현황!$A$2:$A$300,$A42,NPI진행현황!$B$2:$B$300,"CV-*"),"-"))</f>
        <v/>
      </c>
      <c r="G42" s="35" t="str">
        <f>IF($A42="","",IFERROR(AVERAGEIFS(NPI진행현황!$G$2:$G$300,NPI진행현황!$A$2:$A$300,$A42,NPI진행현황!$B$2:$B$300,"CT-*"),"-"))</f>
        <v/>
      </c>
      <c r="H42" s="35" t="str">
        <f>IF($A42="","",IFERROR(AVERAGEIFS(NPI진행현황!$G$2:$G$300,NPI진행현황!$A$2:$A$300,$A42,NPI진행현황!$B$2:$B$300,"PK-*"),"-"))</f>
        <v/>
      </c>
      <c r="I42" s="35" t="str">
        <f>IF($A42="","",IFERROR(AVERAGEIFS(NPI진행현황!$G$2:$G$300,NPI진행현황!$A$2:$A$300,$A42,NPI진행현황!$B$2:$B$300,"SW-*"),"-"))</f>
        <v/>
      </c>
      <c r="J42" s="33" t="str">
        <f>IF($A42="","",COUNTIFS(NPI진행현황!$A$2:$A$300,$A42,NPI진행현황!$F$2:$F$300,"기획"))</f>
        <v/>
      </c>
      <c r="K42" s="33" t="str">
        <f>IF($A42="","",COUNTIFS(NPI진행현황!$A$2:$A$300,$A42,NPI진행현황!$F$2:$F$300,"EVT"))</f>
        <v/>
      </c>
      <c r="L42" s="33" t="str">
        <f>IF($A42="","",COUNTIFS(NPI진행현황!$A$2:$A$300,$A42,NPI진행현황!$F$2:$F$300,"DVT"))</f>
        <v/>
      </c>
      <c r="M42" s="33" t="str">
        <f>IF($A42="","",COUNTIFS(NPI진행현황!$A$2:$A$300,$A42,NPI진행현황!$F$2:$F$300,"PVT"))</f>
        <v/>
      </c>
      <c r="N42" s="33" t="str">
        <f>IF($A42="","",COUNTIFS(NPI진행현황!$A$2:$A$300,$A42,NPI진행현황!$F$2:$F$300,"MP(양산)"))</f>
        <v/>
      </c>
      <c r="O42" s="33" t="str">
        <f>IF($A42="","",COUNTIFS(NPI진행현황!$A$2:$A$300,$A42,NPI진행현황!$J$2:$J$300,"진행중")+COUNTIFS(NPI진행현황!$A$2:$A$300,$A42,NPI진행현황!$J$2:$J$300,"지연"))</f>
        <v/>
      </c>
    </row>
    <row r="43" spans="1:15" ht="15" customHeight="1">
      <c r="A43" s="33" t="str">
        <f>IF(상품마스터!A43="","",상품마스터!A43)</f>
        <v/>
      </c>
      <c r="B43" s="33" t="str">
        <f>IF($A43="","",상품마스터!B43)</f>
        <v/>
      </c>
      <c r="C43" s="33" t="str">
        <f>IF($A43="","",상품마스터!D43)</f>
        <v/>
      </c>
      <c r="D43" s="33" t="str">
        <f>IF($A43="","",COUNTIFS(NPI진행현황!$A$2:$A$300,$A43))</f>
        <v/>
      </c>
      <c r="E43" s="35" t="str">
        <f>IF($A43="","",IFERROR(AVERAGEIFS(NPI진행현황!$G$2:$G$300,NPI진행현황!$A$2:$A$300,$A43),"-"))</f>
        <v/>
      </c>
      <c r="F43" s="35" t="str">
        <f>IF($A43="","",IFERROR(AVERAGEIFS(NPI진행현황!$G$2:$G$300,NPI진행현황!$A$2:$A$300,$A43,NPI진행현황!$B$2:$B$300,"CV-*"),"-"))</f>
        <v/>
      </c>
      <c r="G43" s="35" t="str">
        <f>IF($A43="","",IFERROR(AVERAGEIFS(NPI진행현황!$G$2:$G$300,NPI진행현황!$A$2:$A$300,$A43,NPI진행현황!$B$2:$B$300,"CT-*"),"-"))</f>
        <v/>
      </c>
      <c r="H43" s="35" t="str">
        <f>IF($A43="","",IFERROR(AVERAGEIFS(NPI진행현황!$G$2:$G$300,NPI진행현황!$A$2:$A$300,$A43,NPI진행현황!$B$2:$B$300,"PK-*"),"-"))</f>
        <v/>
      </c>
      <c r="I43" s="35" t="str">
        <f>IF($A43="","",IFERROR(AVERAGEIFS(NPI진행현황!$G$2:$G$300,NPI진행현황!$A$2:$A$300,$A43,NPI진행현황!$B$2:$B$300,"SW-*"),"-"))</f>
        <v/>
      </c>
      <c r="J43" s="33" t="str">
        <f>IF($A43="","",COUNTIFS(NPI진행현황!$A$2:$A$300,$A43,NPI진행현황!$F$2:$F$300,"기획"))</f>
        <v/>
      </c>
      <c r="K43" s="33" t="str">
        <f>IF($A43="","",COUNTIFS(NPI진행현황!$A$2:$A$300,$A43,NPI진행현황!$F$2:$F$300,"EVT"))</f>
        <v/>
      </c>
      <c r="L43" s="33" t="str">
        <f>IF($A43="","",COUNTIFS(NPI진행현황!$A$2:$A$300,$A43,NPI진행현황!$F$2:$F$300,"DVT"))</f>
        <v/>
      </c>
      <c r="M43" s="33" t="str">
        <f>IF($A43="","",COUNTIFS(NPI진행현황!$A$2:$A$300,$A43,NPI진행현황!$F$2:$F$300,"PVT"))</f>
        <v/>
      </c>
      <c r="N43" s="33" t="str">
        <f>IF($A43="","",COUNTIFS(NPI진행현황!$A$2:$A$300,$A43,NPI진행현황!$F$2:$F$300,"MP(양산)"))</f>
        <v/>
      </c>
      <c r="O43" s="33" t="str">
        <f>IF($A43="","",COUNTIFS(NPI진행현황!$A$2:$A$300,$A43,NPI진행현황!$J$2:$J$300,"진행중")+COUNTIFS(NPI진행현황!$A$2:$A$300,$A43,NPI진행현황!$J$2:$J$300,"지연"))</f>
        <v/>
      </c>
    </row>
    <row r="44" spans="1:15" ht="15" customHeight="1">
      <c r="A44" s="33" t="str">
        <f>IF(상품마스터!A44="","",상품마스터!A44)</f>
        <v/>
      </c>
      <c r="B44" s="33" t="str">
        <f>IF($A44="","",상품마스터!B44)</f>
        <v/>
      </c>
      <c r="C44" s="33" t="str">
        <f>IF($A44="","",상품마스터!D44)</f>
        <v/>
      </c>
      <c r="D44" s="33" t="str">
        <f>IF($A44="","",COUNTIFS(NPI진행현황!$A$2:$A$300,$A44))</f>
        <v/>
      </c>
      <c r="E44" s="35" t="str">
        <f>IF($A44="","",IFERROR(AVERAGEIFS(NPI진행현황!$G$2:$G$300,NPI진행현황!$A$2:$A$300,$A44),"-"))</f>
        <v/>
      </c>
      <c r="F44" s="35" t="str">
        <f>IF($A44="","",IFERROR(AVERAGEIFS(NPI진행현황!$G$2:$G$300,NPI진행현황!$A$2:$A$300,$A44,NPI진행현황!$B$2:$B$300,"CV-*"),"-"))</f>
        <v/>
      </c>
      <c r="G44" s="35" t="str">
        <f>IF($A44="","",IFERROR(AVERAGEIFS(NPI진행현황!$G$2:$G$300,NPI진행현황!$A$2:$A$300,$A44,NPI진행현황!$B$2:$B$300,"CT-*"),"-"))</f>
        <v/>
      </c>
      <c r="H44" s="35" t="str">
        <f>IF($A44="","",IFERROR(AVERAGEIFS(NPI진행현황!$G$2:$G$300,NPI진행현황!$A$2:$A$300,$A44,NPI진행현황!$B$2:$B$300,"PK-*"),"-"))</f>
        <v/>
      </c>
      <c r="I44" s="35" t="str">
        <f>IF($A44="","",IFERROR(AVERAGEIFS(NPI진행현황!$G$2:$G$300,NPI진행현황!$A$2:$A$300,$A44,NPI진행현황!$B$2:$B$300,"SW-*"),"-"))</f>
        <v/>
      </c>
      <c r="J44" s="33" t="str">
        <f>IF($A44="","",COUNTIFS(NPI진행현황!$A$2:$A$300,$A44,NPI진행현황!$F$2:$F$300,"기획"))</f>
        <v/>
      </c>
      <c r="K44" s="33" t="str">
        <f>IF($A44="","",COUNTIFS(NPI진행현황!$A$2:$A$300,$A44,NPI진행현황!$F$2:$F$300,"EVT"))</f>
        <v/>
      </c>
      <c r="L44" s="33" t="str">
        <f>IF($A44="","",COUNTIFS(NPI진행현황!$A$2:$A$300,$A44,NPI진행현황!$F$2:$F$300,"DVT"))</f>
        <v/>
      </c>
      <c r="M44" s="33" t="str">
        <f>IF($A44="","",COUNTIFS(NPI진행현황!$A$2:$A$300,$A44,NPI진행현황!$F$2:$F$300,"PVT"))</f>
        <v/>
      </c>
      <c r="N44" s="33" t="str">
        <f>IF($A44="","",COUNTIFS(NPI진행현황!$A$2:$A$300,$A44,NPI진행현황!$F$2:$F$300,"MP(양산)"))</f>
        <v/>
      </c>
      <c r="O44" s="33" t="str">
        <f>IF($A44="","",COUNTIFS(NPI진행현황!$A$2:$A$300,$A44,NPI진행현황!$J$2:$J$300,"진행중")+COUNTIFS(NPI진행현황!$A$2:$A$300,$A44,NPI진행현황!$J$2:$J$300,"지연"))</f>
        <v/>
      </c>
    </row>
    <row r="45" spans="1:15" ht="15" customHeight="1">
      <c r="A45" s="33" t="str">
        <f>IF(상품마스터!A45="","",상품마스터!A45)</f>
        <v/>
      </c>
      <c r="B45" s="33" t="str">
        <f>IF($A45="","",상품마스터!B45)</f>
        <v/>
      </c>
      <c r="C45" s="33" t="str">
        <f>IF($A45="","",상품마스터!D45)</f>
        <v/>
      </c>
      <c r="D45" s="33" t="str">
        <f>IF($A45="","",COUNTIFS(NPI진행현황!$A$2:$A$300,$A45))</f>
        <v/>
      </c>
      <c r="E45" s="35" t="str">
        <f>IF($A45="","",IFERROR(AVERAGEIFS(NPI진행현황!$G$2:$G$300,NPI진행현황!$A$2:$A$300,$A45),"-"))</f>
        <v/>
      </c>
      <c r="F45" s="35" t="str">
        <f>IF($A45="","",IFERROR(AVERAGEIFS(NPI진행현황!$G$2:$G$300,NPI진행현황!$A$2:$A$300,$A45,NPI진행현황!$B$2:$B$300,"CV-*"),"-"))</f>
        <v/>
      </c>
      <c r="G45" s="35" t="str">
        <f>IF($A45="","",IFERROR(AVERAGEIFS(NPI진행현황!$G$2:$G$300,NPI진행현황!$A$2:$A$300,$A45,NPI진행현황!$B$2:$B$300,"CT-*"),"-"))</f>
        <v/>
      </c>
      <c r="H45" s="35" t="str">
        <f>IF($A45="","",IFERROR(AVERAGEIFS(NPI진행현황!$G$2:$G$300,NPI진행현황!$A$2:$A$300,$A45,NPI진행현황!$B$2:$B$300,"PK-*"),"-"))</f>
        <v/>
      </c>
      <c r="I45" s="35" t="str">
        <f>IF($A45="","",IFERROR(AVERAGEIFS(NPI진행현황!$G$2:$G$300,NPI진행현황!$A$2:$A$300,$A45,NPI진행현황!$B$2:$B$300,"SW-*"),"-"))</f>
        <v/>
      </c>
      <c r="J45" s="33" t="str">
        <f>IF($A45="","",COUNTIFS(NPI진행현황!$A$2:$A$300,$A45,NPI진행현황!$F$2:$F$300,"기획"))</f>
        <v/>
      </c>
      <c r="K45" s="33" t="str">
        <f>IF($A45="","",COUNTIFS(NPI진행현황!$A$2:$A$300,$A45,NPI진행현황!$F$2:$F$300,"EVT"))</f>
        <v/>
      </c>
      <c r="L45" s="33" t="str">
        <f>IF($A45="","",COUNTIFS(NPI진행현황!$A$2:$A$300,$A45,NPI진행현황!$F$2:$F$300,"DVT"))</f>
        <v/>
      </c>
      <c r="M45" s="33" t="str">
        <f>IF($A45="","",COUNTIFS(NPI진행현황!$A$2:$A$300,$A45,NPI진행현황!$F$2:$F$300,"PVT"))</f>
        <v/>
      </c>
      <c r="N45" s="33" t="str">
        <f>IF($A45="","",COUNTIFS(NPI진행현황!$A$2:$A$300,$A45,NPI진행현황!$F$2:$F$300,"MP(양산)"))</f>
        <v/>
      </c>
      <c r="O45" s="33" t="str">
        <f>IF($A45="","",COUNTIFS(NPI진행현황!$A$2:$A$300,$A45,NPI진행현황!$J$2:$J$300,"진행중")+COUNTIFS(NPI진행현황!$A$2:$A$300,$A45,NPI진행현황!$J$2:$J$300,"지연"))</f>
        <v/>
      </c>
    </row>
    <row r="46" spans="1:15" ht="15" customHeight="1">
      <c r="A46" s="33" t="str">
        <f>IF(상품마스터!A46="","",상품마스터!A46)</f>
        <v/>
      </c>
      <c r="B46" s="33" t="str">
        <f>IF($A46="","",상품마스터!B46)</f>
        <v/>
      </c>
      <c r="C46" s="33" t="str">
        <f>IF($A46="","",상품마스터!D46)</f>
        <v/>
      </c>
      <c r="D46" s="33" t="str">
        <f>IF($A46="","",COUNTIFS(NPI진행현황!$A$2:$A$300,$A46))</f>
        <v/>
      </c>
      <c r="E46" s="35" t="str">
        <f>IF($A46="","",IFERROR(AVERAGEIFS(NPI진행현황!$G$2:$G$300,NPI진행현황!$A$2:$A$300,$A46),"-"))</f>
        <v/>
      </c>
      <c r="F46" s="35" t="str">
        <f>IF($A46="","",IFERROR(AVERAGEIFS(NPI진행현황!$G$2:$G$300,NPI진행현황!$A$2:$A$300,$A46,NPI진행현황!$B$2:$B$300,"CV-*"),"-"))</f>
        <v/>
      </c>
      <c r="G46" s="35" t="str">
        <f>IF($A46="","",IFERROR(AVERAGEIFS(NPI진행현황!$G$2:$G$300,NPI진행현황!$A$2:$A$300,$A46,NPI진행현황!$B$2:$B$300,"CT-*"),"-"))</f>
        <v/>
      </c>
      <c r="H46" s="35" t="str">
        <f>IF($A46="","",IFERROR(AVERAGEIFS(NPI진행현황!$G$2:$G$300,NPI진행현황!$A$2:$A$300,$A46,NPI진행현황!$B$2:$B$300,"PK-*"),"-"))</f>
        <v/>
      </c>
      <c r="I46" s="35" t="str">
        <f>IF($A46="","",IFERROR(AVERAGEIFS(NPI진행현황!$G$2:$G$300,NPI진행현황!$A$2:$A$300,$A46,NPI진행현황!$B$2:$B$300,"SW-*"),"-"))</f>
        <v/>
      </c>
      <c r="J46" s="33" t="str">
        <f>IF($A46="","",COUNTIFS(NPI진행현황!$A$2:$A$300,$A46,NPI진행현황!$F$2:$F$300,"기획"))</f>
        <v/>
      </c>
      <c r="K46" s="33" t="str">
        <f>IF($A46="","",COUNTIFS(NPI진행현황!$A$2:$A$300,$A46,NPI진행현황!$F$2:$F$300,"EVT"))</f>
        <v/>
      </c>
      <c r="L46" s="33" t="str">
        <f>IF($A46="","",COUNTIFS(NPI진행현황!$A$2:$A$300,$A46,NPI진행현황!$F$2:$F$300,"DVT"))</f>
        <v/>
      </c>
      <c r="M46" s="33" t="str">
        <f>IF($A46="","",COUNTIFS(NPI진행현황!$A$2:$A$300,$A46,NPI진행현황!$F$2:$F$300,"PVT"))</f>
        <v/>
      </c>
      <c r="N46" s="33" t="str">
        <f>IF($A46="","",COUNTIFS(NPI진행현황!$A$2:$A$300,$A46,NPI진행현황!$F$2:$F$300,"MP(양산)"))</f>
        <v/>
      </c>
      <c r="O46" s="33" t="str">
        <f>IF($A46="","",COUNTIFS(NPI진행현황!$A$2:$A$300,$A46,NPI진행현황!$J$2:$J$300,"진행중")+COUNTIFS(NPI진행현황!$A$2:$A$300,$A46,NPI진행현황!$J$2:$J$300,"지연"))</f>
        <v/>
      </c>
    </row>
    <row r="47" spans="1:15" ht="15" customHeight="1">
      <c r="A47" s="33" t="str">
        <f>IF(상품마스터!A47="","",상품마스터!A47)</f>
        <v/>
      </c>
      <c r="B47" s="33" t="str">
        <f>IF($A47="","",상품마스터!B47)</f>
        <v/>
      </c>
      <c r="C47" s="33" t="str">
        <f>IF($A47="","",상품마스터!D47)</f>
        <v/>
      </c>
      <c r="D47" s="33" t="str">
        <f>IF($A47="","",COUNTIFS(NPI진행현황!$A$2:$A$300,$A47))</f>
        <v/>
      </c>
      <c r="E47" s="35" t="str">
        <f>IF($A47="","",IFERROR(AVERAGEIFS(NPI진행현황!$G$2:$G$300,NPI진행현황!$A$2:$A$300,$A47),"-"))</f>
        <v/>
      </c>
      <c r="F47" s="35" t="str">
        <f>IF($A47="","",IFERROR(AVERAGEIFS(NPI진행현황!$G$2:$G$300,NPI진행현황!$A$2:$A$300,$A47,NPI진행현황!$B$2:$B$300,"CV-*"),"-"))</f>
        <v/>
      </c>
      <c r="G47" s="35" t="str">
        <f>IF($A47="","",IFERROR(AVERAGEIFS(NPI진행현황!$G$2:$G$300,NPI진행현황!$A$2:$A$300,$A47,NPI진행현황!$B$2:$B$300,"CT-*"),"-"))</f>
        <v/>
      </c>
      <c r="H47" s="35" t="str">
        <f>IF($A47="","",IFERROR(AVERAGEIFS(NPI진행현황!$G$2:$G$300,NPI진행현황!$A$2:$A$300,$A47,NPI진행현황!$B$2:$B$300,"PK-*"),"-"))</f>
        <v/>
      </c>
      <c r="I47" s="35" t="str">
        <f>IF($A47="","",IFERROR(AVERAGEIFS(NPI진행현황!$G$2:$G$300,NPI진행현황!$A$2:$A$300,$A47,NPI진행현황!$B$2:$B$300,"SW-*"),"-"))</f>
        <v/>
      </c>
      <c r="J47" s="33" t="str">
        <f>IF($A47="","",COUNTIFS(NPI진행현황!$A$2:$A$300,$A47,NPI진행현황!$F$2:$F$300,"기획"))</f>
        <v/>
      </c>
      <c r="K47" s="33" t="str">
        <f>IF($A47="","",COUNTIFS(NPI진행현황!$A$2:$A$300,$A47,NPI진행현황!$F$2:$F$300,"EVT"))</f>
        <v/>
      </c>
      <c r="L47" s="33" t="str">
        <f>IF($A47="","",COUNTIFS(NPI진행현황!$A$2:$A$300,$A47,NPI진행현황!$F$2:$F$300,"DVT"))</f>
        <v/>
      </c>
      <c r="M47" s="33" t="str">
        <f>IF($A47="","",COUNTIFS(NPI진행현황!$A$2:$A$300,$A47,NPI진행현황!$F$2:$F$300,"PVT"))</f>
        <v/>
      </c>
      <c r="N47" s="33" t="str">
        <f>IF($A47="","",COUNTIFS(NPI진행현황!$A$2:$A$300,$A47,NPI진행현황!$F$2:$F$300,"MP(양산)"))</f>
        <v/>
      </c>
      <c r="O47" s="33" t="str">
        <f>IF($A47="","",COUNTIFS(NPI진행현황!$A$2:$A$300,$A47,NPI진행현황!$J$2:$J$300,"진행중")+COUNTIFS(NPI진행현황!$A$2:$A$300,$A47,NPI진행현황!$J$2:$J$300,"지연"))</f>
        <v/>
      </c>
    </row>
    <row r="48" spans="1:15" ht="15" customHeight="1">
      <c r="A48" s="33" t="str">
        <f>IF(상품마스터!A48="","",상품마스터!A48)</f>
        <v/>
      </c>
      <c r="B48" s="33" t="str">
        <f>IF($A48="","",상품마스터!B48)</f>
        <v/>
      </c>
      <c r="C48" s="33" t="str">
        <f>IF($A48="","",상품마스터!D48)</f>
        <v/>
      </c>
      <c r="D48" s="33" t="str">
        <f>IF($A48="","",COUNTIFS(NPI진행현황!$A$2:$A$300,$A48))</f>
        <v/>
      </c>
      <c r="E48" s="35" t="str">
        <f>IF($A48="","",IFERROR(AVERAGEIFS(NPI진행현황!$G$2:$G$300,NPI진행현황!$A$2:$A$300,$A48),"-"))</f>
        <v/>
      </c>
      <c r="F48" s="35" t="str">
        <f>IF($A48="","",IFERROR(AVERAGEIFS(NPI진행현황!$G$2:$G$300,NPI진행현황!$A$2:$A$300,$A48,NPI진행현황!$B$2:$B$300,"CV-*"),"-"))</f>
        <v/>
      </c>
      <c r="G48" s="35" t="str">
        <f>IF($A48="","",IFERROR(AVERAGEIFS(NPI진행현황!$G$2:$G$300,NPI진행현황!$A$2:$A$300,$A48,NPI진행현황!$B$2:$B$300,"CT-*"),"-"))</f>
        <v/>
      </c>
      <c r="H48" s="35" t="str">
        <f>IF($A48="","",IFERROR(AVERAGEIFS(NPI진행현황!$G$2:$G$300,NPI진행현황!$A$2:$A$300,$A48,NPI진행현황!$B$2:$B$300,"PK-*"),"-"))</f>
        <v/>
      </c>
      <c r="I48" s="35" t="str">
        <f>IF($A48="","",IFERROR(AVERAGEIFS(NPI진행현황!$G$2:$G$300,NPI진행현황!$A$2:$A$300,$A48,NPI진행현황!$B$2:$B$300,"SW-*"),"-"))</f>
        <v/>
      </c>
      <c r="J48" s="33" t="str">
        <f>IF($A48="","",COUNTIFS(NPI진행현황!$A$2:$A$300,$A48,NPI진행현황!$F$2:$F$300,"기획"))</f>
        <v/>
      </c>
      <c r="K48" s="33" t="str">
        <f>IF($A48="","",COUNTIFS(NPI진행현황!$A$2:$A$300,$A48,NPI진행현황!$F$2:$F$300,"EVT"))</f>
        <v/>
      </c>
      <c r="L48" s="33" t="str">
        <f>IF($A48="","",COUNTIFS(NPI진행현황!$A$2:$A$300,$A48,NPI진행현황!$F$2:$F$300,"DVT"))</f>
        <v/>
      </c>
      <c r="M48" s="33" t="str">
        <f>IF($A48="","",COUNTIFS(NPI진행현황!$A$2:$A$300,$A48,NPI진행현황!$F$2:$F$300,"PVT"))</f>
        <v/>
      </c>
      <c r="N48" s="33" t="str">
        <f>IF($A48="","",COUNTIFS(NPI진행현황!$A$2:$A$300,$A48,NPI진행현황!$F$2:$F$300,"MP(양산)"))</f>
        <v/>
      </c>
      <c r="O48" s="33" t="str">
        <f>IF($A48="","",COUNTIFS(NPI진행현황!$A$2:$A$300,$A48,NPI진행현황!$J$2:$J$300,"진행중")+COUNTIFS(NPI진행현황!$A$2:$A$300,$A48,NPI진행현황!$J$2:$J$300,"지연"))</f>
        <v/>
      </c>
    </row>
    <row r="49" spans="1:15" ht="15" customHeight="1">
      <c r="A49" s="33" t="str">
        <f>IF(상품마스터!A49="","",상품마스터!A49)</f>
        <v/>
      </c>
      <c r="B49" s="33" t="str">
        <f>IF($A49="","",상품마스터!B49)</f>
        <v/>
      </c>
      <c r="C49" s="33" t="str">
        <f>IF($A49="","",상품마스터!D49)</f>
        <v/>
      </c>
      <c r="D49" s="33" t="str">
        <f>IF($A49="","",COUNTIFS(NPI진행현황!$A$2:$A$300,$A49))</f>
        <v/>
      </c>
      <c r="E49" s="35" t="str">
        <f>IF($A49="","",IFERROR(AVERAGEIFS(NPI진행현황!$G$2:$G$300,NPI진행현황!$A$2:$A$300,$A49),"-"))</f>
        <v/>
      </c>
      <c r="F49" s="35" t="str">
        <f>IF($A49="","",IFERROR(AVERAGEIFS(NPI진행현황!$G$2:$G$300,NPI진행현황!$A$2:$A$300,$A49,NPI진행현황!$B$2:$B$300,"CV-*"),"-"))</f>
        <v/>
      </c>
      <c r="G49" s="35" t="str">
        <f>IF($A49="","",IFERROR(AVERAGEIFS(NPI진행현황!$G$2:$G$300,NPI진행현황!$A$2:$A$300,$A49,NPI진행현황!$B$2:$B$300,"CT-*"),"-"))</f>
        <v/>
      </c>
      <c r="H49" s="35" t="str">
        <f>IF($A49="","",IFERROR(AVERAGEIFS(NPI진행현황!$G$2:$G$300,NPI진행현황!$A$2:$A$300,$A49,NPI진행현황!$B$2:$B$300,"PK-*"),"-"))</f>
        <v/>
      </c>
      <c r="I49" s="35" t="str">
        <f>IF($A49="","",IFERROR(AVERAGEIFS(NPI진행현황!$G$2:$G$300,NPI진행현황!$A$2:$A$300,$A49,NPI진행현황!$B$2:$B$300,"SW-*"),"-"))</f>
        <v/>
      </c>
      <c r="J49" s="33" t="str">
        <f>IF($A49="","",COUNTIFS(NPI진행현황!$A$2:$A$300,$A49,NPI진행현황!$F$2:$F$300,"기획"))</f>
        <v/>
      </c>
      <c r="K49" s="33" t="str">
        <f>IF($A49="","",COUNTIFS(NPI진행현황!$A$2:$A$300,$A49,NPI진행현황!$F$2:$F$300,"EVT"))</f>
        <v/>
      </c>
      <c r="L49" s="33" t="str">
        <f>IF($A49="","",COUNTIFS(NPI진행현황!$A$2:$A$300,$A49,NPI진행현황!$F$2:$F$300,"DVT"))</f>
        <v/>
      </c>
      <c r="M49" s="33" t="str">
        <f>IF($A49="","",COUNTIFS(NPI진행현황!$A$2:$A$300,$A49,NPI진행현황!$F$2:$F$300,"PVT"))</f>
        <v/>
      </c>
      <c r="N49" s="33" t="str">
        <f>IF($A49="","",COUNTIFS(NPI진행현황!$A$2:$A$300,$A49,NPI진행현황!$F$2:$F$300,"MP(양산)"))</f>
        <v/>
      </c>
      <c r="O49" s="33" t="str">
        <f>IF($A49="","",COUNTIFS(NPI진행현황!$A$2:$A$300,$A49,NPI진행현황!$J$2:$J$300,"진행중")+COUNTIFS(NPI진행현황!$A$2:$A$300,$A49,NPI진행현황!$J$2:$J$300,"지연"))</f>
        <v/>
      </c>
    </row>
    <row r="50" spans="1:15" ht="15" customHeight="1">
      <c r="A50" s="33" t="str">
        <f>IF(상품마스터!A50="","",상품마스터!A50)</f>
        <v/>
      </c>
      <c r="B50" s="33" t="str">
        <f>IF($A50="","",상품마스터!B50)</f>
        <v/>
      </c>
      <c r="C50" s="33" t="str">
        <f>IF($A50="","",상품마스터!D50)</f>
        <v/>
      </c>
      <c r="D50" s="33" t="str">
        <f>IF($A50="","",COUNTIFS(NPI진행현황!$A$2:$A$300,$A50))</f>
        <v/>
      </c>
      <c r="E50" s="35" t="str">
        <f>IF($A50="","",IFERROR(AVERAGEIFS(NPI진행현황!$G$2:$G$300,NPI진행현황!$A$2:$A$300,$A50),"-"))</f>
        <v/>
      </c>
      <c r="F50" s="35" t="str">
        <f>IF($A50="","",IFERROR(AVERAGEIFS(NPI진행현황!$G$2:$G$300,NPI진행현황!$A$2:$A$300,$A50,NPI진행현황!$B$2:$B$300,"CV-*"),"-"))</f>
        <v/>
      </c>
      <c r="G50" s="35" t="str">
        <f>IF($A50="","",IFERROR(AVERAGEIFS(NPI진행현황!$G$2:$G$300,NPI진행현황!$A$2:$A$300,$A50,NPI진행현황!$B$2:$B$300,"CT-*"),"-"))</f>
        <v/>
      </c>
      <c r="H50" s="35" t="str">
        <f>IF($A50="","",IFERROR(AVERAGEIFS(NPI진행현황!$G$2:$G$300,NPI진행현황!$A$2:$A$300,$A50,NPI진행현황!$B$2:$B$300,"PK-*"),"-"))</f>
        <v/>
      </c>
      <c r="I50" s="35" t="str">
        <f>IF($A50="","",IFERROR(AVERAGEIFS(NPI진행현황!$G$2:$G$300,NPI진행현황!$A$2:$A$300,$A50,NPI진행현황!$B$2:$B$300,"SW-*"),"-"))</f>
        <v/>
      </c>
      <c r="J50" s="33" t="str">
        <f>IF($A50="","",COUNTIFS(NPI진행현황!$A$2:$A$300,$A50,NPI진행현황!$F$2:$F$300,"기획"))</f>
        <v/>
      </c>
      <c r="K50" s="33" t="str">
        <f>IF($A50="","",COUNTIFS(NPI진행현황!$A$2:$A$300,$A50,NPI진행현황!$F$2:$F$300,"EVT"))</f>
        <v/>
      </c>
      <c r="L50" s="33" t="str">
        <f>IF($A50="","",COUNTIFS(NPI진행현황!$A$2:$A$300,$A50,NPI진행현황!$F$2:$F$300,"DVT"))</f>
        <v/>
      </c>
      <c r="M50" s="33" t="str">
        <f>IF($A50="","",COUNTIFS(NPI진행현황!$A$2:$A$300,$A50,NPI진행현황!$F$2:$F$300,"PVT"))</f>
        <v/>
      </c>
      <c r="N50" s="33" t="str">
        <f>IF($A50="","",COUNTIFS(NPI진행현황!$A$2:$A$300,$A50,NPI진행현황!$F$2:$F$300,"MP(양산)"))</f>
        <v/>
      </c>
      <c r="O50" s="33" t="str">
        <f>IF($A50="","",COUNTIFS(NPI진행현황!$A$2:$A$300,$A50,NPI진행현황!$J$2:$J$300,"진행중")+COUNTIFS(NPI진행현황!$A$2:$A$300,$A50,NPI진행현황!$J$2:$J$300,"지연"))</f>
        <v/>
      </c>
    </row>
    <row r="51" spans="1:15" ht="15" customHeight="1">
      <c r="A51" s="33" t="str">
        <f>IF(상품마스터!A51="","",상품마스터!A51)</f>
        <v/>
      </c>
      <c r="B51" s="33" t="str">
        <f>IF($A51="","",상품마스터!B51)</f>
        <v/>
      </c>
      <c r="C51" s="33" t="str">
        <f>IF($A51="","",상품마스터!D51)</f>
        <v/>
      </c>
      <c r="D51" s="33" t="str">
        <f>IF($A51="","",COUNTIFS(NPI진행현황!$A$2:$A$300,$A51))</f>
        <v/>
      </c>
      <c r="E51" s="35" t="str">
        <f>IF($A51="","",IFERROR(AVERAGEIFS(NPI진행현황!$G$2:$G$300,NPI진행현황!$A$2:$A$300,$A51),"-"))</f>
        <v/>
      </c>
      <c r="F51" s="35" t="str">
        <f>IF($A51="","",IFERROR(AVERAGEIFS(NPI진행현황!$G$2:$G$300,NPI진행현황!$A$2:$A$300,$A51,NPI진행현황!$B$2:$B$300,"CV-*"),"-"))</f>
        <v/>
      </c>
      <c r="G51" s="35" t="str">
        <f>IF($A51="","",IFERROR(AVERAGEIFS(NPI진행현황!$G$2:$G$300,NPI진행현황!$A$2:$A$300,$A51,NPI진행현황!$B$2:$B$300,"CT-*"),"-"))</f>
        <v/>
      </c>
      <c r="H51" s="35" t="str">
        <f>IF($A51="","",IFERROR(AVERAGEIFS(NPI진행현황!$G$2:$G$300,NPI진행현황!$A$2:$A$300,$A51,NPI진행현황!$B$2:$B$300,"PK-*"),"-"))</f>
        <v/>
      </c>
      <c r="I51" s="35" t="str">
        <f>IF($A51="","",IFERROR(AVERAGEIFS(NPI진행현황!$G$2:$G$300,NPI진행현황!$A$2:$A$300,$A51,NPI진행현황!$B$2:$B$300,"SW-*"),"-"))</f>
        <v/>
      </c>
      <c r="J51" s="33" t="str">
        <f>IF($A51="","",COUNTIFS(NPI진행현황!$A$2:$A$300,$A51,NPI진행현황!$F$2:$F$300,"기획"))</f>
        <v/>
      </c>
      <c r="K51" s="33" t="str">
        <f>IF($A51="","",COUNTIFS(NPI진행현황!$A$2:$A$300,$A51,NPI진행현황!$F$2:$F$300,"EVT"))</f>
        <v/>
      </c>
      <c r="L51" s="33" t="str">
        <f>IF($A51="","",COUNTIFS(NPI진행현황!$A$2:$A$300,$A51,NPI진행현황!$F$2:$F$300,"DVT"))</f>
        <v/>
      </c>
      <c r="M51" s="33" t="str">
        <f>IF($A51="","",COUNTIFS(NPI진행현황!$A$2:$A$300,$A51,NPI진행현황!$F$2:$F$300,"PVT"))</f>
        <v/>
      </c>
      <c r="N51" s="33" t="str">
        <f>IF($A51="","",COUNTIFS(NPI진행현황!$A$2:$A$300,$A51,NPI진행현황!$F$2:$F$300,"MP(양산)"))</f>
        <v/>
      </c>
      <c r="O51" s="33" t="str">
        <f>IF($A51="","",COUNTIFS(NPI진행현황!$A$2:$A$300,$A51,NPI진행현황!$J$2:$J$300,"진행중")+COUNTIFS(NPI진행현황!$A$2:$A$300,$A51,NPI진행현황!$J$2:$J$300,"지연"))</f>
        <v/>
      </c>
    </row>
    <row r="52" spans="1:15" ht="1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 ht="15" customHeight="1">
      <c r="A53" s="36" t="s">
        <v>450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1:15" ht="1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ht="1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1:15" ht="1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 spans="1:15" ht="1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 ht="1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 ht="1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 ht="1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spans="1:15" ht="1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spans="1:15" ht="1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1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 ht="1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 spans="1:15" ht="1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 spans="1:15" ht="1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1:15" ht="1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 spans="1:15" ht="1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spans="1:15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spans="1:15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spans="1:15" ht="1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spans="1:15" ht="1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spans="1:15" ht="1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spans="1:15" ht="1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spans="1:15" ht="1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spans="1:15" ht="1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1:15" ht="1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 spans="1:15" ht="1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1:15" ht="1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spans="1:15" ht="1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spans="1:15" ht="1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 spans="1:15" ht="1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spans="1:15" ht="1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spans="1:15" ht="1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1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spans="1:15" ht="1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spans="1:15" ht="1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</row>
    <row r="88" spans="1:15" ht="1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</row>
    <row r="89" spans="1:15" ht="1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spans="1:15" ht="1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</row>
    <row r="91" spans="1:15" ht="1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</row>
    <row r="92" spans="1:15" ht="1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 spans="1:15" ht="1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</row>
    <row r="94" spans="1:15" ht="1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 spans="1:15" ht="1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</row>
    <row r="96" spans="1:15" ht="1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</row>
    <row r="97" spans="1:15" ht="1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</row>
    <row r="98" spans="1:15" ht="1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</row>
    <row r="99" spans="1:15" ht="1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spans="1:15" ht="1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</row>
    <row r="101" spans="1:15" ht="1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</row>
    <row r="102" spans="1:15" ht="1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spans="1:15" ht="1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spans="1:15" ht="1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 ht="1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 spans="1:15" ht="1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 ht="1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spans="1:15" ht="1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 ht="1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spans="1:15" ht="1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 ht="1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 spans="1:15" ht="1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spans="1:15" ht="1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 spans="1:15" ht="1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spans="1:15" ht="1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 spans="1:15" ht="1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spans="1:15" ht="1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 spans="1:15" ht="1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spans="1:15" ht="1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 spans="1:15" ht="1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spans="1:15" ht="1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</row>
    <row r="122" spans="1:15" ht="1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</row>
    <row r="123" spans="1:15" ht="1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</row>
    <row r="124" spans="1:15" ht="1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1:15" ht="1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</row>
    <row r="126" spans="1:15" ht="1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 spans="1:15" ht="1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 spans="1:15" ht="1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 spans="1:15" ht="1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 spans="1:15" ht="1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 spans="1:15" ht="1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 spans="1:15" ht="1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spans="1:15" ht="1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 spans="1:15" ht="1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spans="1:15" ht="1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6" spans="1:15" ht="1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</row>
    <row r="137" spans="1:15" ht="1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</row>
    <row r="138" spans="1:15" ht="1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</row>
    <row r="139" spans="1:15" ht="1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</row>
    <row r="140" spans="1:15" ht="1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</row>
    <row r="141" spans="1:15" ht="1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</row>
    <row r="142" spans="1:15" ht="1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</row>
    <row r="143" spans="1:15" ht="1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</row>
    <row r="144" spans="1:15" ht="1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 spans="1:15" ht="1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</row>
    <row r="146" spans="1:15" ht="1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</row>
    <row r="147" spans="1:15" ht="1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spans="1:15" ht="1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 spans="1:15" ht="1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 spans="1:15" ht="1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 spans="1:15" ht="1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</row>
    <row r="152" spans="1:15" ht="1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 spans="1:15" ht="1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</row>
    <row r="154" spans="1:15" ht="1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 spans="1:15" ht="1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</row>
    <row r="156" spans="1:15" ht="1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 spans="1:15" ht="1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</row>
    <row r="158" spans="1:15" ht="1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  <row r="159" spans="1:15" ht="1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</row>
    <row r="160" spans="1:15" ht="1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</row>
    <row r="161" spans="1:15" ht="1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</row>
    <row r="162" spans="1:15" ht="1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</row>
    <row r="163" spans="1:15" ht="1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</row>
    <row r="164" spans="1:15" ht="1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</row>
    <row r="165" spans="1:15" ht="1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</row>
    <row r="166" spans="1:15" ht="1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</row>
    <row r="167" spans="1:15" ht="1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</row>
    <row r="168" spans="1:15" ht="1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</row>
    <row r="169" spans="1:15" ht="1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</row>
    <row r="170" spans="1:15" ht="1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</row>
    <row r="171" spans="1:15" ht="1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</row>
    <row r="172" spans="1:15" ht="1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</row>
    <row r="173" spans="1:15" ht="1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</row>
    <row r="174" spans="1:15" ht="1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</row>
    <row r="175" spans="1:15" ht="1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 spans="1:15" ht="1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 spans="1:15" ht="1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</row>
    <row r="178" spans="1:15" ht="1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</row>
    <row r="179" spans="1:15" ht="1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</row>
    <row r="180" spans="1:15" ht="1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</row>
    <row r="181" spans="1:15" ht="1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</row>
    <row r="182" spans="1:15" ht="1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</row>
    <row r="183" spans="1:15" ht="1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</row>
    <row r="184" spans="1:15" ht="1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</row>
    <row r="185" spans="1:15" ht="1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</row>
    <row r="186" spans="1:15" ht="1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</row>
    <row r="187" spans="1:15" ht="1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</row>
    <row r="188" spans="1:15" ht="1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</row>
    <row r="189" spans="1:15" ht="1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</row>
    <row r="190" spans="1:15" ht="1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</row>
    <row r="191" spans="1:15" ht="1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</row>
    <row r="192" spans="1:15" ht="1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</row>
    <row r="193" spans="1:15" ht="1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</row>
    <row r="194" spans="1:15" ht="1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</row>
    <row r="195" spans="1:15" ht="1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spans="1:15" ht="1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</row>
    <row r="197" spans="1:15" ht="1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</row>
    <row r="198" spans="1:15" ht="1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</row>
    <row r="199" spans="1:15" ht="1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</row>
    <row r="200" spans="1:15" ht="1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</row>
    <row r="201" spans="1:15" ht="1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</row>
    <row r="202" spans="1:15" ht="1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 spans="1:15" ht="1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 spans="1:15" ht="1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spans="1:15" ht="1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 spans="1:15" ht="1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</row>
    <row r="207" spans="1:15" ht="1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 spans="1:15" ht="1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</row>
    <row r="209" spans="1:15" ht="1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</row>
    <row r="210" spans="1:15" ht="1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</row>
    <row r="211" spans="1:15" ht="1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</row>
    <row r="212" spans="1:15" ht="1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</row>
    <row r="213" spans="1:15" ht="1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</row>
    <row r="214" spans="1:15" ht="1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</row>
    <row r="215" spans="1:15" ht="1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</row>
    <row r="216" spans="1:15" ht="1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</row>
    <row r="217" spans="1:15" ht="1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</row>
    <row r="218" spans="1:15" ht="1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</row>
    <row r="219" spans="1:15" ht="1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 spans="1:15" ht="1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 spans="1:15" ht="1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spans="1:15" ht="1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spans="1:15" ht="1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spans="1:15" ht="1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spans="1:15" ht="1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spans="1:15" ht="1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spans="1:15" ht="1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spans="1:15" ht="1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spans="1:15" ht="1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spans="1:15" ht="1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spans="1:15" ht="1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spans="1:15" ht="1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 spans="1:15" ht="1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 spans="1:15" ht="1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 spans="1:15" ht="1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 spans="1:15" ht="1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 spans="1:15" ht="1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 spans="1:15" ht="1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 spans="1:15" ht="1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 spans="1:15" ht="1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 spans="1:15" ht="1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 spans="1:15" ht="1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 spans="1:15" ht="1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spans="1:15" ht="1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spans="1:15" ht="1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spans="1:15" ht="1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spans="1:15" ht="1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spans="1:15" ht="1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spans="1:15" ht="1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spans="1:15" ht="1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spans="1:15" ht="1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spans="1:15" ht="1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spans="1:15" ht="1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spans="1:15" ht="1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spans="1:15" ht="1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spans="1:15" ht="1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</row>
    <row r="257" spans="1:15" ht="1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</row>
    <row r="258" spans="1:15" ht="1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 spans="1:15" ht="1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</row>
    <row r="260" spans="1:15" ht="1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</row>
    <row r="261" spans="1:15" ht="1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</row>
    <row r="262" spans="1:15" ht="1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</row>
    <row r="263" spans="1:15" ht="1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</row>
    <row r="264" spans="1:15" ht="1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5" spans="1:15" ht="1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</row>
    <row r="266" spans="1:15" ht="1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</row>
    <row r="267" spans="1:15" ht="1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 spans="1:15" ht="1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 spans="1:15" ht="1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 spans="1:15" ht="1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 spans="1:15" ht="1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 spans="1:15" ht="1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 spans="1:15" ht="1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 spans="1:15" ht="1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 spans="1:15" ht="1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 spans="1:15" ht="1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 spans="1:15" ht="1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 spans="1:15" ht="1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 spans="1:15" ht="1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</row>
    <row r="280" spans="1:15" ht="1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</row>
    <row r="281" spans="1:15" ht="1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</row>
    <row r="282" spans="1:15" ht="1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</row>
    <row r="283" spans="1:15" ht="1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</row>
    <row r="284" spans="1:15" ht="1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</row>
    <row r="285" spans="1:15" ht="1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</row>
    <row r="286" spans="1:15" ht="1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</row>
    <row r="287" spans="1:15" ht="1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</row>
    <row r="288" spans="1:15" ht="1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</row>
    <row r="289" spans="1:15" ht="1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</row>
    <row r="290" spans="1:15" ht="1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</row>
    <row r="291" spans="1:15" ht="1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 spans="1:15" ht="1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 spans="1:15" ht="1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 spans="1:15" ht="1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 spans="1:15" ht="1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 spans="1:15" ht="1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 spans="1:15" ht="1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 spans="1:15" ht="1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 spans="1:15" ht="1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 spans="1:15" ht="1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</sheetData>
  <autoFilter ref="A1:O300" xr:uid="{00000000-0009-0000-0000-000008000000}"/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1" customWidth="1"/>
    <col min="3" max="3" width="10" customWidth="1"/>
    <col min="4" max="4" width="28" customWidth="1"/>
    <col min="5" max="5" width="11" customWidth="1"/>
    <col min="6" max="6" width="12" customWidth="1"/>
    <col min="7" max="8" width="22" customWidth="1"/>
    <col min="9" max="9" width="26" customWidth="1"/>
    <col min="10" max="11" width="10" customWidth="1"/>
    <col min="12" max="12" width="14" customWidth="1"/>
    <col min="13" max="13" width="8" customWidth="1"/>
    <col min="14" max="14" width="20" customWidth="1"/>
  </cols>
  <sheetData>
    <row r="1" spans="1:14" ht="30" customHeight="1">
      <c r="A1" s="29" t="s">
        <v>451</v>
      </c>
      <c r="B1" s="28" t="s">
        <v>452</v>
      </c>
      <c r="C1" s="28" t="s">
        <v>196</v>
      </c>
      <c r="D1" s="28" t="s">
        <v>197</v>
      </c>
      <c r="E1" s="28" t="s">
        <v>453</v>
      </c>
      <c r="F1" s="28" t="s">
        <v>454</v>
      </c>
      <c r="G1" s="28" t="s">
        <v>455</v>
      </c>
      <c r="H1" s="28" t="s">
        <v>456</v>
      </c>
      <c r="I1" s="28" t="s">
        <v>457</v>
      </c>
      <c r="J1" s="28" t="s">
        <v>458</v>
      </c>
      <c r="K1" s="28" t="s">
        <v>459</v>
      </c>
      <c r="L1" s="28" t="s">
        <v>460</v>
      </c>
      <c r="M1" s="28" t="s">
        <v>178</v>
      </c>
      <c r="N1" s="28" t="s">
        <v>183</v>
      </c>
    </row>
    <row r="2" spans="1:14" ht="15" customHeight="1">
      <c r="A2" s="30" t="s">
        <v>461</v>
      </c>
      <c r="B2" s="32" t="s">
        <v>462</v>
      </c>
      <c r="C2" s="32" t="s">
        <v>238</v>
      </c>
      <c r="D2" s="33" t="str">
        <f>IF(C2="","",IFERROR(INDEX(품목마스터!$B$2:$B$300,MATCH(C2,품목마스터!$A$2:$A$300,0)),"※미등록"))</f>
        <v>컨트롤러 아세이 (윈도우커버라벨 포함)</v>
      </c>
      <c r="E2" s="31" t="s">
        <v>463</v>
      </c>
      <c r="F2" s="32" t="s">
        <v>464</v>
      </c>
      <c r="G2" s="31" t="s">
        <v>465</v>
      </c>
      <c r="H2" s="31" t="s">
        <v>466</v>
      </c>
      <c r="I2" s="31" t="s">
        <v>467</v>
      </c>
      <c r="J2" s="32" t="s">
        <v>367</v>
      </c>
      <c r="K2" s="32" t="s">
        <v>189</v>
      </c>
      <c r="L2" s="32" t="s">
        <v>184</v>
      </c>
      <c r="M2" s="31" t="s">
        <v>393</v>
      </c>
      <c r="N2" s="31" t="s">
        <v>190</v>
      </c>
    </row>
    <row r="3" spans="1:14" ht="15" customHeight="1">
      <c r="A3" s="30"/>
      <c r="B3" s="32"/>
      <c r="C3" s="32"/>
      <c r="D3" s="33" t="str">
        <f>IF(C3="","",IFERROR(INDEX(품목마스터!$B$2:$B$300,MATCH(C3,품목마스터!$A$2:$A$300,0)),"※미등록"))</f>
        <v/>
      </c>
      <c r="E3" s="31"/>
      <c r="F3" s="32"/>
      <c r="G3" s="32"/>
      <c r="H3" s="32"/>
      <c r="I3" s="32"/>
      <c r="J3" s="32"/>
      <c r="K3" s="32"/>
      <c r="L3" s="32"/>
      <c r="M3" s="32"/>
      <c r="N3" s="32"/>
    </row>
    <row r="4" spans="1:14" ht="15" customHeight="1">
      <c r="A4" s="30"/>
      <c r="B4" s="32"/>
      <c r="C4" s="32"/>
      <c r="D4" s="33" t="str">
        <f>IF(C4="","",IFERROR(INDEX(품목마스터!$B$2:$B$300,MATCH(C4,품목마스터!$A$2:$A$300,0)),"※미등록"))</f>
        <v/>
      </c>
      <c r="E4" s="31"/>
      <c r="F4" s="32"/>
      <c r="G4" s="32"/>
      <c r="H4" s="32"/>
      <c r="I4" s="32"/>
      <c r="J4" s="32"/>
      <c r="K4" s="32"/>
      <c r="L4" s="32"/>
      <c r="M4" s="32"/>
      <c r="N4" s="32"/>
    </row>
    <row r="5" spans="1:14" ht="15" customHeight="1">
      <c r="A5" s="30"/>
      <c r="B5" s="32"/>
      <c r="C5" s="32"/>
      <c r="D5" s="33" t="str">
        <f>IF(C5="","",IFERROR(INDEX(품목마스터!$B$2:$B$300,MATCH(C5,품목마스터!$A$2:$A$300,0)),"※미등록"))</f>
        <v/>
      </c>
      <c r="E5" s="31"/>
      <c r="F5" s="32"/>
      <c r="G5" s="32"/>
      <c r="H5" s="32"/>
      <c r="I5" s="32"/>
      <c r="J5" s="32"/>
      <c r="K5" s="32"/>
      <c r="L5" s="32"/>
      <c r="M5" s="32"/>
      <c r="N5" s="32"/>
    </row>
    <row r="6" spans="1:14" ht="15" customHeight="1">
      <c r="A6" s="30"/>
      <c r="B6" s="32"/>
      <c r="C6" s="32"/>
      <c r="D6" s="33" t="str">
        <f>IF(C6="","",IFERROR(INDEX(품목마스터!$B$2:$B$300,MATCH(C6,품목마스터!$A$2:$A$300,0)),"※미등록"))</f>
        <v/>
      </c>
      <c r="E6" s="31"/>
      <c r="F6" s="32"/>
      <c r="G6" s="32"/>
      <c r="H6" s="32"/>
      <c r="I6" s="32"/>
      <c r="J6" s="32"/>
      <c r="K6" s="32"/>
      <c r="L6" s="32"/>
      <c r="M6" s="32"/>
      <c r="N6" s="32"/>
    </row>
    <row r="7" spans="1:14" ht="15" customHeight="1">
      <c r="A7" s="30"/>
      <c r="B7" s="32"/>
      <c r="C7" s="32"/>
      <c r="D7" s="33" t="str">
        <f>IF(C7="","",IFERROR(INDEX(품목마스터!$B$2:$B$300,MATCH(C7,품목마스터!$A$2:$A$300,0)),"※미등록"))</f>
        <v/>
      </c>
      <c r="E7" s="31"/>
      <c r="F7" s="32"/>
      <c r="G7" s="32"/>
      <c r="H7" s="32"/>
      <c r="I7" s="32"/>
      <c r="J7" s="32"/>
      <c r="K7" s="32"/>
      <c r="L7" s="32"/>
      <c r="M7" s="32"/>
      <c r="N7" s="32"/>
    </row>
    <row r="8" spans="1:14" ht="15" customHeight="1">
      <c r="A8" s="30"/>
      <c r="B8" s="32"/>
      <c r="C8" s="32"/>
      <c r="D8" s="33" t="str">
        <f>IF(C8="","",IFERROR(INDEX(품목마스터!$B$2:$B$300,MATCH(C8,품목마스터!$A$2:$A$300,0)),"※미등록"))</f>
        <v/>
      </c>
      <c r="E8" s="31"/>
      <c r="F8" s="32"/>
      <c r="G8" s="32"/>
      <c r="H8" s="32"/>
      <c r="I8" s="32"/>
      <c r="J8" s="32"/>
      <c r="K8" s="32"/>
      <c r="L8" s="32"/>
      <c r="M8" s="32"/>
      <c r="N8" s="32"/>
    </row>
    <row r="9" spans="1:14" ht="15" customHeight="1">
      <c r="A9" s="30"/>
      <c r="B9" s="32"/>
      <c r="C9" s="32"/>
      <c r="D9" s="33" t="str">
        <f>IF(C9="","",IFERROR(INDEX(품목마스터!$B$2:$B$300,MATCH(C9,품목마스터!$A$2:$A$300,0)),"※미등록"))</f>
        <v/>
      </c>
      <c r="E9" s="31"/>
      <c r="F9" s="32"/>
      <c r="G9" s="32"/>
      <c r="H9" s="32"/>
      <c r="I9" s="32"/>
      <c r="J9" s="32"/>
      <c r="K9" s="32"/>
      <c r="L9" s="32"/>
      <c r="M9" s="32"/>
      <c r="N9" s="32"/>
    </row>
    <row r="10" spans="1:14" ht="15" customHeight="1">
      <c r="A10" s="30"/>
      <c r="B10" s="32"/>
      <c r="C10" s="32"/>
      <c r="D10" s="33" t="str">
        <f>IF(C10="","",IFERROR(INDEX(품목마스터!$B$2:$B$300,MATCH(C10,품목마스터!$A$2:$A$300,0)),"※미등록"))</f>
        <v/>
      </c>
      <c r="E10" s="31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15" customHeight="1">
      <c r="A11" s="30"/>
      <c r="B11" s="32"/>
      <c r="C11" s="32"/>
      <c r="D11" s="33" t="str">
        <f>IF(C11="","",IFERROR(INDEX(품목마스터!$B$2:$B$300,MATCH(C11,품목마스터!$A$2:$A$300,0)),"※미등록"))</f>
        <v/>
      </c>
      <c r="E11" s="31"/>
      <c r="F11" s="32"/>
      <c r="G11" s="32"/>
      <c r="H11" s="32"/>
      <c r="I11" s="32"/>
      <c r="J11" s="32"/>
      <c r="K11" s="32"/>
      <c r="L11" s="32"/>
      <c r="M11" s="32"/>
      <c r="N11" s="32"/>
    </row>
    <row r="12" spans="1:14" ht="15" customHeight="1">
      <c r="A12" s="30"/>
      <c r="B12" s="32"/>
      <c r="C12" s="32"/>
      <c r="D12" s="33" t="str">
        <f>IF(C12="","",IFERROR(INDEX(품목마스터!$B$2:$B$300,MATCH(C12,품목마스터!$A$2:$A$300,0)),"※미등록"))</f>
        <v/>
      </c>
      <c r="E12" s="31"/>
      <c r="F12" s="32"/>
      <c r="G12" s="32"/>
      <c r="H12" s="32"/>
      <c r="I12" s="32"/>
      <c r="J12" s="32"/>
      <c r="K12" s="32"/>
      <c r="L12" s="32"/>
      <c r="M12" s="32"/>
      <c r="N12" s="32"/>
    </row>
    <row r="13" spans="1:14" ht="15" customHeight="1">
      <c r="A13" s="30"/>
      <c r="B13" s="32"/>
      <c r="C13" s="32"/>
      <c r="D13" s="33" t="str">
        <f>IF(C13="","",IFERROR(INDEX(품목마스터!$B$2:$B$300,MATCH(C13,품목마스터!$A$2:$A$300,0)),"※미등록"))</f>
        <v/>
      </c>
      <c r="E13" s="31"/>
      <c r="F13" s="32"/>
      <c r="G13" s="32"/>
      <c r="H13" s="32"/>
      <c r="I13" s="32"/>
      <c r="J13" s="32"/>
      <c r="K13" s="32"/>
      <c r="L13" s="32"/>
      <c r="M13" s="32"/>
      <c r="N13" s="32"/>
    </row>
    <row r="14" spans="1:14" ht="15" customHeight="1">
      <c r="A14" s="30"/>
      <c r="B14" s="32"/>
      <c r="C14" s="32"/>
      <c r="D14" s="33" t="str">
        <f>IF(C14="","",IFERROR(INDEX(품목마스터!$B$2:$B$300,MATCH(C14,품목마스터!$A$2:$A$300,0)),"※미등록"))</f>
        <v/>
      </c>
      <c r="E14" s="31"/>
      <c r="F14" s="32"/>
      <c r="G14" s="32"/>
      <c r="H14" s="32"/>
      <c r="I14" s="32"/>
      <c r="J14" s="32"/>
      <c r="K14" s="32"/>
      <c r="L14" s="32"/>
      <c r="M14" s="32"/>
      <c r="N14" s="32"/>
    </row>
    <row r="15" spans="1:14" ht="15" customHeight="1">
      <c r="A15" s="30"/>
      <c r="B15" s="32"/>
      <c r="C15" s="32"/>
      <c r="D15" s="33" t="str">
        <f>IF(C15="","",IFERROR(INDEX(품목마스터!$B$2:$B$300,MATCH(C15,품목마스터!$A$2:$A$300,0)),"※미등록"))</f>
        <v/>
      </c>
      <c r="E15" s="31"/>
      <c r="F15" s="32"/>
      <c r="G15" s="32"/>
      <c r="H15" s="32"/>
      <c r="I15" s="32"/>
      <c r="J15" s="32"/>
      <c r="K15" s="32"/>
      <c r="L15" s="32"/>
      <c r="M15" s="32"/>
      <c r="N15" s="32"/>
    </row>
    <row r="16" spans="1:14" ht="15" customHeight="1">
      <c r="A16" s="30"/>
      <c r="B16" s="32"/>
      <c r="C16" s="32"/>
      <c r="D16" s="33" t="str">
        <f>IF(C16="","",IFERROR(INDEX(품목마스터!$B$2:$B$300,MATCH(C16,품목마스터!$A$2:$A$300,0)),"※미등록"))</f>
        <v/>
      </c>
      <c r="E16" s="31"/>
      <c r="F16" s="32"/>
      <c r="G16" s="32"/>
      <c r="H16" s="32"/>
      <c r="I16" s="32"/>
      <c r="J16" s="32"/>
      <c r="K16" s="32"/>
      <c r="L16" s="32"/>
      <c r="M16" s="32"/>
      <c r="N16" s="32"/>
    </row>
    <row r="17" spans="1:14" ht="15" customHeight="1">
      <c r="A17" s="30"/>
      <c r="B17" s="32"/>
      <c r="C17" s="32"/>
      <c r="D17" s="33" t="str">
        <f>IF(C17="","",IFERROR(INDEX(품목마스터!$B$2:$B$300,MATCH(C17,품목마스터!$A$2:$A$300,0)),"※미등록"))</f>
        <v/>
      </c>
      <c r="E17" s="31"/>
      <c r="F17" s="32"/>
      <c r="G17" s="32"/>
      <c r="H17" s="32"/>
      <c r="I17" s="32"/>
      <c r="J17" s="32"/>
      <c r="K17" s="32"/>
      <c r="L17" s="32"/>
      <c r="M17" s="32"/>
      <c r="N17" s="32"/>
    </row>
    <row r="18" spans="1:14" ht="15" customHeight="1">
      <c r="A18" s="30"/>
      <c r="B18" s="32"/>
      <c r="C18" s="32"/>
      <c r="D18" s="33" t="str">
        <f>IF(C18="","",IFERROR(INDEX(품목마스터!$B$2:$B$300,MATCH(C18,품목마스터!$A$2:$A$300,0)),"※미등록"))</f>
        <v/>
      </c>
      <c r="E18" s="31"/>
      <c r="F18" s="32"/>
      <c r="G18" s="32"/>
      <c r="H18" s="32"/>
      <c r="I18" s="32"/>
      <c r="J18" s="32"/>
      <c r="K18" s="32"/>
      <c r="L18" s="32"/>
      <c r="M18" s="32"/>
      <c r="N18" s="32"/>
    </row>
    <row r="19" spans="1:14" ht="15" customHeight="1">
      <c r="A19" s="30"/>
      <c r="B19" s="32"/>
      <c r="C19" s="32"/>
      <c r="D19" s="33" t="str">
        <f>IF(C19="","",IFERROR(INDEX(품목마스터!$B$2:$B$300,MATCH(C19,품목마스터!$A$2:$A$300,0)),"※미등록"))</f>
        <v/>
      </c>
      <c r="E19" s="31"/>
      <c r="F19" s="32"/>
      <c r="G19" s="32"/>
      <c r="H19" s="32"/>
      <c r="I19" s="32"/>
      <c r="J19" s="32"/>
      <c r="K19" s="32"/>
      <c r="L19" s="32"/>
      <c r="M19" s="32"/>
      <c r="N19" s="32"/>
    </row>
    <row r="20" spans="1:14" ht="15" customHeight="1">
      <c r="A20" s="30"/>
      <c r="B20" s="32"/>
      <c r="C20" s="32"/>
      <c r="D20" s="33" t="str">
        <f>IF(C20="","",IFERROR(INDEX(품목마스터!$B$2:$B$300,MATCH(C20,품목마스터!$A$2:$A$300,0)),"※미등록"))</f>
        <v/>
      </c>
      <c r="E20" s="31"/>
      <c r="F20" s="32"/>
      <c r="G20" s="32"/>
      <c r="H20" s="32"/>
      <c r="I20" s="32"/>
      <c r="J20" s="32"/>
      <c r="K20" s="32"/>
      <c r="L20" s="32"/>
      <c r="M20" s="32"/>
      <c r="N20" s="32"/>
    </row>
    <row r="21" spans="1:14" ht="15" customHeight="1">
      <c r="A21" s="30"/>
      <c r="B21" s="32"/>
      <c r="C21" s="32"/>
      <c r="D21" s="33" t="str">
        <f>IF(C21="","",IFERROR(INDEX(품목마스터!$B$2:$B$300,MATCH(C21,품목마스터!$A$2:$A$300,0)),"※미등록"))</f>
        <v/>
      </c>
      <c r="E21" s="31"/>
      <c r="F21" s="32"/>
      <c r="G21" s="32"/>
      <c r="H21" s="32"/>
      <c r="I21" s="32"/>
      <c r="J21" s="32"/>
      <c r="K21" s="32"/>
      <c r="L21" s="32"/>
      <c r="M21" s="32"/>
      <c r="N21" s="32"/>
    </row>
    <row r="22" spans="1:14" ht="15" customHeight="1">
      <c r="A22" s="30"/>
      <c r="B22" s="32"/>
      <c r="C22" s="32"/>
      <c r="D22" s="33" t="str">
        <f>IF(C22="","",IFERROR(INDEX(품목마스터!$B$2:$B$300,MATCH(C22,품목마스터!$A$2:$A$300,0)),"※미등록"))</f>
        <v/>
      </c>
      <c r="E22" s="31"/>
      <c r="F22" s="32"/>
      <c r="G22" s="32"/>
      <c r="H22" s="32"/>
      <c r="I22" s="32"/>
      <c r="J22" s="32"/>
      <c r="K22" s="32"/>
      <c r="L22" s="32"/>
      <c r="M22" s="32"/>
      <c r="N22" s="32"/>
    </row>
    <row r="23" spans="1:14" ht="15" customHeight="1">
      <c r="A23" s="30"/>
      <c r="B23" s="32"/>
      <c r="C23" s="32"/>
      <c r="D23" s="33" t="str">
        <f>IF(C23="","",IFERROR(INDEX(품목마스터!$B$2:$B$300,MATCH(C23,품목마스터!$A$2:$A$300,0)),"※미등록"))</f>
        <v/>
      </c>
      <c r="E23" s="31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>
      <c r="A24" s="30"/>
      <c r="B24" s="32"/>
      <c r="C24" s="32"/>
      <c r="D24" s="33" t="str">
        <f>IF(C24="","",IFERROR(INDEX(품목마스터!$B$2:$B$300,MATCH(C24,품목마스터!$A$2:$A$300,0)),"※미등록"))</f>
        <v/>
      </c>
      <c r="E24" s="31"/>
      <c r="F24" s="32"/>
      <c r="G24" s="32"/>
      <c r="H24" s="32"/>
      <c r="I24" s="32"/>
      <c r="J24" s="32"/>
      <c r="K24" s="32"/>
      <c r="L24" s="32"/>
      <c r="M24" s="32"/>
      <c r="N24" s="32"/>
    </row>
    <row r="25" spans="1:14" ht="15" customHeight="1">
      <c r="A25" s="30"/>
      <c r="B25" s="32"/>
      <c r="C25" s="32"/>
      <c r="D25" s="33" t="str">
        <f>IF(C25="","",IFERROR(INDEX(품목마스터!$B$2:$B$300,MATCH(C25,품목마스터!$A$2:$A$300,0)),"※미등록"))</f>
        <v/>
      </c>
      <c r="E25" s="31"/>
      <c r="F25" s="32"/>
      <c r="G25" s="32"/>
      <c r="H25" s="32"/>
      <c r="I25" s="32"/>
      <c r="J25" s="32"/>
      <c r="K25" s="32"/>
      <c r="L25" s="32"/>
      <c r="M25" s="32"/>
      <c r="N25" s="32"/>
    </row>
    <row r="26" spans="1:14" ht="15" customHeight="1">
      <c r="A26" s="30"/>
      <c r="B26" s="32"/>
      <c r="C26" s="32"/>
      <c r="D26" s="33" t="str">
        <f>IF(C26="","",IFERROR(INDEX(품목마스터!$B$2:$B$300,MATCH(C26,품목마스터!$A$2:$A$300,0)),"※미등록"))</f>
        <v/>
      </c>
      <c r="E26" s="31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>
      <c r="A27" s="30"/>
      <c r="B27" s="32"/>
      <c r="C27" s="32"/>
      <c r="D27" s="33" t="str">
        <f>IF(C27="","",IFERROR(INDEX(품목마스터!$B$2:$B$300,MATCH(C27,품목마스터!$A$2:$A$300,0)),"※미등록"))</f>
        <v/>
      </c>
      <c r="E27" s="31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5" customHeight="1">
      <c r="A28" s="30"/>
      <c r="B28" s="32"/>
      <c r="C28" s="32"/>
      <c r="D28" s="33" t="str">
        <f>IF(C28="","",IFERROR(INDEX(품목마스터!$B$2:$B$300,MATCH(C28,품목마스터!$A$2:$A$300,0)),"※미등록"))</f>
        <v/>
      </c>
      <c r="E28" s="31"/>
      <c r="F28" s="32"/>
      <c r="G28" s="32"/>
      <c r="H28" s="32"/>
      <c r="I28" s="32"/>
      <c r="J28" s="32"/>
      <c r="K28" s="32"/>
      <c r="L28" s="32"/>
      <c r="M28" s="32"/>
      <c r="N28" s="32"/>
    </row>
    <row r="29" spans="1:14" ht="15" customHeight="1">
      <c r="A29" s="30"/>
      <c r="B29" s="32"/>
      <c r="C29" s="32"/>
      <c r="D29" s="33" t="str">
        <f>IF(C29="","",IFERROR(INDEX(품목마스터!$B$2:$B$300,MATCH(C29,품목마스터!$A$2:$A$300,0)),"※미등록"))</f>
        <v/>
      </c>
      <c r="E29" s="31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>
      <c r="A30" s="30"/>
      <c r="B30" s="32"/>
      <c r="C30" s="32"/>
      <c r="D30" s="33" t="str">
        <f>IF(C30="","",IFERROR(INDEX(품목마스터!$B$2:$B$300,MATCH(C30,품목마스터!$A$2:$A$300,0)),"※미등록"))</f>
        <v/>
      </c>
      <c r="E30" s="31"/>
      <c r="F30" s="32"/>
      <c r="G30" s="32"/>
      <c r="H30" s="32"/>
      <c r="I30" s="32"/>
      <c r="J30" s="32"/>
      <c r="K30" s="32"/>
      <c r="L30" s="32"/>
      <c r="M30" s="32"/>
      <c r="N30" s="32"/>
    </row>
    <row r="31" spans="1:14" ht="15" customHeight="1">
      <c r="A31" s="30"/>
      <c r="B31" s="32"/>
      <c r="C31" s="32"/>
      <c r="D31" s="33" t="str">
        <f>IF(C31="","",IFERROR(INDEX(품목마스터!$B$2:$B$300,MATCH(C31,품목마스터!$A$2:$A$300,0)),"※미등록"))</f>
        <v/>
      </c>
      <c r="E31" s="31"/>
      <c r="F31" s="32"/>
      <c r="G31" s="32"/>
      <c r="H31" s="32"/>
      <c r="I31" s="32"/>
      <c r="J31" s="32"/>
      <c r="K31" s="32"/>
      <c r="L31" s="32"/>
      <c r="M31" s="32"/>
      <c r="N31" s="32"/>
    </row>
    <row r="32" spans="1:14" ht="15" customHeight="1">
      <c r="A32" s="30"/>
      <c r="B32" s="32"/>
      <c r="C32" s="32"/>
      <c r="D32" s="33" t="str">
        <f>IF(C32="","",IFERROR(INDEX(품목마스터!$B$2:$B$300,MATCH(C32,품목마스터!$A$2:$A$300,0)),"※미등록"))</f>
        <v/>
      </c>
      <c r="E32" s="31"/>
      <c r="F32" s="32"/>
      <c r="G32" s="32"/>
      <c r="H32" s="32"/>
      <c r="I32" s="32"/>
      <c r="J32" s="32"/>
      <c r="K32" s="32"/>
      <c r="L32" s="32"/>
      <c r="M32" s="32"/>
      <c r="N32" s="32"/>
    </row>
    <row r="33" spans="1:14" ht="15" customHeight="1">
      <c r="A33" s="30"/>
      <c r="B33" s="32"/>
      <c r="C33" s="32"/>
      <c r="D33" s="33" t="str">
        <f>IF(C33="","",IFERROR(INDEX(품목마스터!$B$2:$B$300,MATCH(C33,품목마스터!$A$2:$A$300,0)),"※미등록"))</f>
        <v/>
      </c>
      <c r="E33" s="31"/>
      <c r="F33" s="32"/>
      <c r="G33" s="32"/>
      <c r="H33" s="32"/>
      <c r="I33" s="32"/>
      <c r="J33" s="32"/>
      <c r="K33" s="32"/>
      <c r="L33" s="32"/>
      <c r="M33" s="32"/>
      <c r="N33" s="32"/>
    </row>
    <row r="34" spans="1:14" ht="15" customHeight="1">
      <c r="A34" s="30"/>
      <c r="B34" s="32"/>
      <c r="C34" s="32"/>
      <c r="D34" s="33" t="str">
        <f>IF(C34="","",IFERROR(INDEX(품목마스터!$B$2:$B$300,MATCH(C34,품목마스터!$A$2:$A$300,0)),"※미등록"))</f>
        <v/>
      </c>
      <c r="E34" s="31"/>
      <c r="F34" s="32"/>
      <c r="G34" s="32"/>
      <c r="H34" s="32"/>
      <c r="I34" s="32"/>
      <c r="J34" s="32"/>
      <c r="K34" s="32"/>
      <c r="L34" s="32"/>
      <c r="M34" s="32"/>
      <c r="N34" s="32"/>
    </row>
    <row r="35" spans="1:14" ht="15" customHeight="1">
      <c r="A35" s="30"/>
      <c r="B35" s="32"/>
      <c r="C35" s="32"/>
      <c r="D35" s="33" t="str">
        <f>IF(C35="","",IFERROR(INDEX(품목마스터!$B$2:$B$300,MATCH(C35,품목마스터!$A$2:$A$300,0)),"※미등록"))</f>
        <v/>
      </c>
      <c r="E35" s="31"/>
      <c r="F35" s="32"/>
      <c r="G35" s="32"/>
      <c r="H35" s="32"/>
      <c r="I35" s="32"/>
      <c r="J35" s="32"/>
      <c r="K35" s="32"/>
      <c r="L35" s="32"/>
      <c r="M35" s="32"/>
      <c r="N35" s="32"/>
    </row>
    <row r="36" spans="1:14" ht="15" customHeight="1">
      <c r="A36" s="30"/>
      <c r="B36" s="32"/>
      <c r="C36" s="32"/>
      <c r="D36" s="33" t="str">
        <f>IF(C36="","",IFERROR(INDEX(품목마스터!$B$2:$B$300,MATCH(C36,품목마스터!$A$2:$A$300,0)),"※미등록"))</f>
        <v/>
      </c>
      <c r="E36" s="31"/>
      <c r="F36" s="32"/>
      <c r="G36" s="32"/>
      <c r="H36" s="32"/>
      <c r="I36" s="32"/>
      <c r="J36" s="32"/>
      <c r="K36" s="32"/>
      <c r="L36" s="32"/>
      <c r="M36" s="32"/>
      <c r="N36" s="32"/>
    </row>
    <row r="37" spans="1:14" ht="15" customHeight="1">
      <c r="A37" s="30"/>
      <c r="B37" s="32"/>
      <c r="C37" s="32"/>
      <c r="D37" s="33" t="str">
        <f>IF(C37="","",IFERROR(INDEX(품목마스터!$B$2:$B$300,MATCH(C37,품목마스터!$A$2:$A$300,0)),"※미등록"))</f>
        <v/>
      </c>
      <c r="E37" s="31"/>
      <c r="F37" s="32"/>
      <c r="G37" s="32"/>
      <c r="H37" s="32"/>
      <c r="I37" s="32"/>
      <c r="J37" s="32"/>
      <c r="K37" s="32"/>
      <c r="L37" s="32"/>
      <c r="M37" s="32"/>
      <c r="N37" s="32"/>
    </row>
    <row r="38" spans="1:14" ht="15" customHeight="1">
      <c r="A38" s="30"/>
      <c r="B38" s="32"/>
      <c r="C38" s="32"/>
      <c r="D38" s="33" t="str">
        <f>IF(C38="","",IFERROR(INDEX(품목마스터!$B$2:$B$300,MATCH(C38,품목마스터!$A$2:$A$300,0)),"※미등록"))</f>
        <v/>
      </c>
      <c r="E38" s="31"/>
      <c r="F38" s="32"/>
      <c r="G38" s="32"/>
      <c r="H38" s="32"/>
      <c r="I38" s="32"/>
      <c r="J38" s="32"/>
      <c r="K38" s="32"/>
      <c r="L38" s="32"/>
      <c r="M38" s="32"/>
      <c r="N38" s="32"/>
    </row>
    <row r="39" spans="1:14" ht="15" customHeight="1">
      <c r="A39" s="30"/>
      <c r="B39" s="32"/>
      <c r="C39" s="32"/>
      <c r="D39" s="33" t="str">
        <f>IF(C39="","",IFERROR(INDEX(품목마스터!$B$2:$B$300,MATCH(C39,품목마스터!$A$2:$A$300,0)),"※미등록"))</f>
        <v/>
      </c>
      <c r="E39" s="31"/>
      <c r="F39" s="32"/>
      <c r="G39" s="32"/>
      <c r="H39" s="32"/>
      <c r="I39" s="32"/>
      <c r="J39" s="32"/>
      <c r="K39" s="32"/>
      <c r="L39" s="32"/>
      <c r="M39" s="32"/>
      <c r="N39" s="32"/>
    </row>
    <row r="40" spans="1:14" ht="15" customHeight="1">
      <c r="A40" s="30"/>
      <c r="B40" s="32"/>
      <c r="C40" s="32"/>
      <c r="D40" s="33" t="str">
        <f>IF(C40="","",IFERROR(INDEX(품목마스터!$B$2:$B$300,MATCH(C40,품목마스터!$A$2:$A$300,0)),"※미등록"))</f>
        <v/>
      </c>
      <c r="E40" s="31"/>
      <c r="F40" s="32"/>
      <c r="G40" s="32"/>
      <c r="H40" s="32"/>
      <c r="I40" s="32"/>
      <c r="J40" s="32"/>
      <c r="K40" s="32"/>
      <c r="L40" s="32"/>
      <c r="M40" s="32"/>
      <c r="N40" s="32"/>
    </row>
    <row r="41" spans="1:14" ht="15" customHeight="1">
      <c r="A41" s="30"/>
      <c r="B41" s="32"/>
      <c r="C41" s="32"/>
      <c r="D41" s="33" t="str">
        <f>IF(C41="","",IFERROR(INDEX(품목마스터!$B$2:$B$300,MATCH(C41,품목마스터!$A$2:$A$300,0)),"※미등록"))</f>
        <v/>
      </c>
      <c r="E41" s="31"/>
      <c r="F41" s="32"/>
      <c r="G41" s="32"/>
      <c r="H41" s="32"/>
      <c r="I41" s="32"/>
      <c r="J41" s="32"/>
      <c r="K41" s="32"/>
      <c r="L41" s="32"/>
      <c r="M41" s="32"/>
      <c r="N41" s="32"/>
    </row>
    <row r="42" spans="1:14" ht="15" customHeight="1">
      <c r="A42" s="30"/>
      <c r="B42" s="32"/>
      <c r="C42" s="32"/>
      <c r="D42" s="33" t="str">
        <f>IF(C42="","",IFERROR(INDEX(품목마스터!$B$2:$B$300,MATCH(C42,품목마스터!$A$2:$A$300,0)),"※미등록"))</f>
        <v/>
      </c>
      <c r="E42" s="31"/>
      <c r="F42" s="32"/>
      <c r="G42" s="32"/>
      <c r="H42" s="32"/>
      <c r="I42" s="32"/>
      <c r="J42" s="32"/>
      <c r="K42" s="32"/>
      <c r="L42" s="32"/>
      <c r="M42" s="32"/>
      <c r="N42" s="32"/>
    </row>
    <row r="43" spans="1:14" ht="15" customHeight="1">
      <c r="A43" s="30"/>
      <c r="B43" s="32"/>
      <c r="C43" s="32"/>
      <c r="D43" s="33" t="str">
        <f>IF(C43="","",IFERROR(INDEX(품목마스터!$B$2:$B$300,MATCH(C43,품목마스터!$A$2:$A$300,0)),"※미등록"))</f>
        <v/>
      </c>
      <c r="E43" s="31"/>
      <c r="F43" s="32"/>
      <c r="G43" s="32"/>
      <c r="H43" s="32"/>
      <c r="I43" s="32"/>
      <c r="J43" s="32"/>
      <c r="K43" s="32"/>
      <c r="L43" s="32"/>
      <c r="M43" s="32"/>
      <c r="N43" s="32"/>
    </row>
    <row r="44" spans="1:14" ht="15" customHeight="1">
      <c r="A44" s="30"/>
      <c r="B44" s="32"/>
      <c r="C44" s="32"/>
      <c r="D44" s="33" t="str">
        <f>IF(C44="","",IFERROR(INDEX(품목마스터!$B$2:$B$300,MATCH(C44,품목마스터!$A$2:$A$300,0)),"※미등록"))</f>
        <v/>
      </c>
      <c r="E44" s="31"/>
      <c r="F44" s="32"/>
      <c r="G44" s="32"/>
      <c r="H44" s="32"/>
      <c r="I44" s="32"/>
      <c r="J44" s="32"/>
      <c r="K44" s="32"/>
      <c r="L44" s="32"/>
      <c r="M44" s="32"/>
      <c r="N44" s="32"/>
    </row>
    <row r="45" spans="1:14" ht="15" customHeight="1">
      <c r="A45" s="30"/>
      <c r="B45" s="32"/>
      <c r="C45" s="32"/>
      <c r="D45" s="33" t="str">
        <f>IF(C45="","",IFERROR(INDEX(품목마스터!$B$2:$B$300,MATCH(C45,품목마스터!$A$2:$A$300,0)),"※미등록"))</f>
        <v/>
      </c>
      <c r="E45" s="31"/>
      <c r="F45" s="32"/>
      <c r="G45" s="32"/>
      <c r="H45" s="32"/>
      <c r="I45" s="32"/>
      <c r="J45" s="32"/>
      <c r="K45" s="32"/>
      <c r="L45" s="32"/>
      <c r="M45" s="32"/>
      <c r="N45" s="32"/>
    </row>
    <row r="46" spans="1:14" ht="15" customHeight="1">
      <c r="A46" s="30"/>
      <c r="B46" s="32"/>
      <c r="C46" s="32"/>
      <c r="D46" s="33" t="str">
        <f>IF(C46="","",IFERROR(INDEX(품목마스터!$B$2:$B$300,MATCH(C46,품목마스터!$A$2:$A$300,0)),"※미등록"))</f>
        <v/>
      </c>
      <c r="E46" s="31"/>
      <c r="F46" s="32"/>
      <c r="G46" s="32"/>
      <c r="H46" s="32"/>
      <c r="I46" s="32"/>
      <c r="J46" s="32"/>
      <c r="K46" s="32"/>
      <c r="L46" s="32"/>
      <c r="M46" s="32"/>
      <c r="N46" s="32"/>
    </row>
    <row r="47" spans="1:14" ht="15" customHeight="1">
      <c r="A47" s="30"/>
      <c r="B47" s="32"/>
      <c r="C47" s="32"/>
      <c r="D47" s="33" t="str">
        <f>IF(C47="","",IFERROR(INDEX(품목마스터!$B$2:$B$300,MATCH(C47,품목마스터!$A$2:$A$300,0)),"※미등록"))</f>
        <v/>
      </c>
      <c r="E47" s="31"/>
      <c r="F47" s="32"/>
      <c r="G47" s="32"/>
      <c r="H47" s="32"/>
      <c r="I47" s="32"/>
      <c r="J47" s="32"/>
      <c r="K47" s="32"/>
      <c r="L47" s="32"/>
      <c r="M47" s="32"/>
      <c r="N47" s="32"/>
    </row>
    <row r="48" spans="1:14" ht="15" customHeight="1">
      <c r="A48" s="30"/>
      <c r="B48" s="32"/>
      <c r="C48" s="32"/>
      <c r="D48" s="33" t="str">
        <f>IF(C48="","",IFERROR(INDEX(품목마스터!$B$2:$B$300,MATCH(C48,품목마스터!$A$2:$A$300,0)),"※미등록"))</f>
        <v/>
      </c>
      <c r="E48" s="31"/>
      <c r="F48" s="32"/>
      <c r="G48" s="32"/>
      <c r="H48" s="32"/>
      <c r="I48" s="32"/>
      <c r="J48" s="32"/>
      <c r="K48" s="32"/>
      <c r="L48" s="32"/>
      <c r="M48" s="32"/>
      <c r="N48" s="32"/>
    </row>
    <row r="49" spans="1:14" ht="15" customHeight="1">
      <c r="A49" s="30"/>
      <c r="B49" s="32"/>
      <c r="C49" s="32"/>
      <c r="D49" s="33" t="str">
        <f>IF(C49="","",IFERROR(INDEX(품목마스터!$B$2:$B$300,MATCH(C49,품목마스터!$A$2:$A$300,0)),"※미등록"))</f>
        <v/>
      </c>
      <c r="E49" s="31"/>
      <c r="F49" s="32"/>
      <c r="G49" s="32"/>
      <c r="H49" s="32"/>
      <c r="I49" s="32"/>
      <c r="J49" s="32"/>
      <c r="K49" s="32"/>
      <c r="L49" s="32"/>
      <c r="M49" s="32"/>
      <c r="N49" s="32"/>
    </row>
    <row r="50" spans="1:14" ht="15" customHeight="1">
      <c r="A50" s="30"/>
      <c r="B50" s="32"/>
      <c r="C50" s="32"/>
      <c r="D50" s="33" t="str">
        <f>IF(C50="","",IFERROR(INDEX(품목마스터!$B$2:$B$300,MATCH(C50,품목마스터!$A$2:$A$300,0)),"※미등록"))</f>
        <v/>
      </c>
      <c r="E50" s="31"/>
      <c r="F50" s="32"/>
      <c r="G50" s="32"/>
      <c r="H50" s="32"/>
      <c r="I50" s="32"/>
      <c r="J50" s="32"/>
      <c r="K50" s="32"/>
      <c r="L50" s="32"/>
      <c r="M50" s="32"/>
      <c r="N50" s="32"/>
    </row>
    <row r="51" spans="1:14" ht="15" customHeight="1">
      <c r="A51" s="30"/>
      <c r="B51" s="32"/>
      <c r="C51" s="32"/>
      <c r="D51" s="33" t="str">
        <f>IF(C51="","",IFERROR(INDEX(품목마스터!$B$2:$B$300,MATCH(C51,품목마스터!$A$2:$A$300,0)),"※미등록"))</f>
        <v/>
      </c>
      <c r="E51" s="31"/>
      <c r="F51" s="32"/>
      <c r="G51" s="32"/>
      <c r="H51" s="32"/>
      <c r="I51" s="32"/>
      <c r="J51" s="32"/>
      <c r="K51" s="32"/>
      <c r="L51" s="32"/>
      <c r="M51" s="32"/>
      <c r="N51" s="32"/>
    </row>
    <row r="52" spans="1:14" ht="15" customHeight="1">
      <c r="A52" s="30"/>
      <c r="B52" s="32"/>
      <c r="C52" s="32"/>
      <c r="D52" s="33" t="str">
        <f>IF(C52="","",IFERROR(INDEX(품목마스터!$B$2:$B$300,MATCH(C52,품목마스터!$A$2:$A$300,0)),"※미등록"))</f>
        <v/>
      </c>
      <c r="E52" s="31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>
      <c r="A53" s="30"/>
      <c r="B53" s="32"/>
      <c r="C53" s="32"/>
      <c r="D53" s="33" t="str">
        <f>IF(C53="","",IFERROR(INDEX(품목마스터!$B$2:$B$300,MATCH(C53,품목마스터!$A$2:$A$300,0)),"※미등록"))</f>
        <v/>
      </c>
      <c r="E53" s="31"/>
      <c r="F53" s="32"/>
      <c r="G53" s="32"/>
      <c r="H53" s="32"/>
      <c r="I53" s="32"/>
      <c r="J53" s="32"/>
      <c r="K53" s="32"/>
      <c r="L53" s="32"/>
      <c r="M53" s="32"/>
      <c r="N53" s="32"/>
    </row>
    <row r="54" spans="1:14" ht="15" customHeight="1">
      <c r="A54" s="30"/>
      <c r="B54" s="32"/>
      <c r="C54" s="32"/>
      <c r="D54" s="33" t="str">
        <f>IF(C54="","",IFERROR(INDEX(품목마스터!$B$2:$B$300,MATCH(C54,품목마스터!$A$2:$A$300,0)),"※미등록"))</f>
        <v/>
      </c>
      <c r="E54" s="31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>
      <c r="A55" s="30"/>
      <c r="B55" s="32"/>
      <c r="C55" s="32"/>
      <c r="D55" s="33" t="str">
        <f>IF(C55="","",IFERROR(INDEX(품목마스터!$B$2:$B$300,MATCH(C55,품목마스터!$A$2:$A$300,0)),"※미등록"))</f>
        <v/>
      </c>
      <c r="E55" s="31"/>
      <c r="F55" s="32"/>
      <c r="G55" s="32"/>
      <c r="H55" s="32"/>
      <c r="I55" s="32"/>
      <c r="J55" s="32"/>
      <c r="K55" s="32"/>
      <c r="L55" s="32"/>
      <c r="M55" s="32"/>
      <c r="N55" s="32"/>
    </row>
    <row r="56" spans="1:14" ht="15" customHeight="1">
      <c r="A56" s="30"/>
      <c r="B56" s="32"/>
      <c r="C56" s="32"/>
      <c r="D56" s="33" t="str">
        <f>IF(C56="","",IFERROR(INDEX(품목마스터!$B$2:$B$300,MATCH(C56,품목마스터!$A$2:$A$300,0)),"※미등록"))</f>
        <v/>
      </c>
      <c r="E56" s="31"/>
      <c r="F56" s="32"/>
      <c r="G56" s="32"/>
      <c r="H56" s="32"/>
      <c r="I56" s="32"/>
      <c r="J56" s="32"/>
      <c r="K56" s="32"/>
      <c r="L56" s="32"/>
      <c r="M56" s="32"/>
      <c r="N56" s="32"/>
    </row>
    <row r="57" spans="1:14" ht="15" customHeight="1">
      <c r="A57" s="30"/>
      <c r="B57" s="32"/>
      <c r="C57" s="32"/>
      <c r="D57" s="33" t="str">
        <f>IF(C57="","",IFERROR(INDEX(품목마스터!$B$2:$B$300,MATCH(C57,품목마스터!$A$2:$A$300,0)),"※미등록"))</f>
        <v/>
      </c>
      <c r="E57" s="31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>
      <c r="A58" s="30"/>
      <c r="B58" s="32"/>
      <c r="C58" s="32"/>
      <c r="D58" s="33" t="str">
        <f>IF(C58="","",IFERROR(INDEX(품목마스터!$B$2:$B$300,MATCH(C58,품목마스터!$A$2:$A$300,0)),"※미등록"))</f>
        <v/>
      </c>
      <c r="E58" s="31"/>
      <c r="F58" s="32"/>
      <c r="G58" s="32"/>
      <c r="H58" s="32"/>
      <c r="I58" s="32"/>
      <c r="J58" s="32"/>
      <c r="K58" s="32"/>
      <c r="L58" s="32"/>
      <c r="M58" s="32"/>
      <c r="N58" s="32"/>
    </row>
    <row r="59" spans="1:14" ht="15" customHeight="1">
      <c r="A59" s="30"/>
      <c r="B59" s="32"/>
      <c r="C59" s="32"/>
      <c r="D59" s="33" t="str">
        <f>IF(C59="","",IFERROR(INDEX(품목마스터!$B$2:$B$300,MATCH(C59,품목마스터!$A$2:$A$300,0)),"※미등록"))</f>
        <v/>
      </c>
      <c r="E59" s="31"/>
      <c r="F59" s="32"/>
      <c r="G59" s="32"/>
      <c r="H59" s="32"/>
      <c r="I59" s="32"/>
      <c r="J59" s="32"/>
      <c r="K59" s="32"/>
      <c r="L59" s="32"/>
      <c r="M59" s="32"/>
      <c r="N59" s="32"/>
    </row>
    <row r="60" spans="1:14" ht="15" customHeight="1">
      <c r="A60" s="30"/>
      <c r="B60" s="32"/>
      <c r="C60" s="32"/>
      <c r="D60" s="33" t="str">
        <f>IF(C60="","",IFERROR(INDEX(품목마스터!$B$2:$B$300,MATCH(C60,품목마스터!$A$2:$A$300,0)),"※미등록"))</f>
        <v/>
      </c>
      <c r="E60" s="31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>
      <c r="A61" s="30"/>
      <c r="B61" s="32"/>
      <c r="C61" s="32"/>
      <c r="D61" s="33" t="str">
        <f>IF(C61="","",IFERROR(INDEX(품목마스터!$B$2:$B$300,MATCH(C61,품목마스터!$A$2:$A$300,0)),"※미등록"))</f>
        <v/>
      </c>
      <c r="E61" s="31"/>
      <c r="F61" s="32"/>
      <c r="G61" s="32"/>
      <c r="H61" s="32"/>
      <c r="I61" s="32"/>
      <c r="J61" s="32"/>
      <c r="K61" s="32"/>
      <c r="L61" s="32"/>
      <c r="M61" s="32"/>
      <c r="N61" s="32"/>
    </row>
    <row r="62" spans="1:14" ht="15" customHeight="1">
      <c r="A62" s="30"/>
      <c r="B62" s="32"/>
      <c r="C62" s="32"/>
      <c r="D62" s="33" t="str">
        <f>IF(C62="","",IFERROR(INDEX(품목마스터!$B$2:$B$300,MATCH(C62,품목마스터!$A$2:$A$300,0)),"※미등록"))</f>
        <v/>
      </c>
      <c r="E62" s="31"/>
      <c r="F62" s="32"/>
      <c r="G62" s="32"/>
      <c r="H62" s="32"/>
      <c r="I62" s="32"/>
      <c r="J62" s="32"/>
      <c r="K62" s="32"/>
      <c r="L62" s="32"/>
      <c r="M62" s="32"/>
      <c r="N62" s="32"/>
    </row>
    <row r="63" spans="1:14" ht="15" customHeight="1">
      <c r="A63" s="30"/>
      <c r="B63" s="32"/>
      <c r="C63" s="32"/>
      <c r="D63" s="33" t="str">
        <f>IF(C63="","",IFERROR(INDEX(품목마스터!$B$2:$B$300,MATCH(C63,품목마스터!$A$2:$A$300,0)),"※미등록"))</f>
        <v/>
      </c>
      <c r="E63" s="31"/>
      <c r="F63" s="32"/>
      <c r="G63" s="32"/>
      <c r="H63" s="32"/>
      <c r="I63" s="32"/>
      <c r="J63" s="32"/>
      <c r="K63" s="32"/>
      <c r="L63" s="32"/>
      <c r="M63" s="32"/>
      <c r="N63" s="32"/>
    </row>
    <row r="64" spans="1:14" ht="15" customHeight="1">
      <c r="A64" s="30"/>
      <c r="B64" s="32"/>
      <c r="C64" s="32"/>
      <c r="D64" s="33" t="str">
        <f>IF(C64="","",IFERROR(INDEX(품목마스터!$B$2:$B$300,MATCH(C64,품목마스터!$A$2:$A$300,0)),"※미등록"))</f>
        <v/>
      </c>
      <c r="E64" s="31"/>
      <c r="F64" s="32"/>
      <c r="G64" s="32"/>
      <c r="H64" s="32"/>
      <c r="I64" s="32"/>
      <c r="J64" s="32"/>
      <c r="K64" s="32"/>
      <c r="L64" s="32"/>
      <c r="M64" s="32"/>
      <c r="N64" s="32"/>
    </row>
    <row r="65" spans="1:14" ht="15" customHeight="1">
      <c r="A65" s="30"/>
      <c r="B65" s="32"/>
      <c r="C65" s="32"/>
      <c r="D65" s="33" t="str">
        <f>IF(C65="","",IFERROR(INDEX(품목마스터!$B$2:$B$300,MATCH(C65,품목마스터!$A$2:$A$300,0)),"※미등록"))</f>
        <v/>
      </c>
      <c r="E65" s="31"/>
      <c r="F65" s="32"/>
      <c r="G65" s="32"/>
      <c r="H65" s="32"/>
      <c r="I65" s="32"/>
      <c r="J65" s="32"/>
      <c r="K65" s="32"/>
      <c r="L65" s="32"/>
      <c r="M65" s="32"/>
      <c r="N65" s="32"/>
    </row>
    <row r="66" spans="1:14" ht="15" customHeight="1">
      <c r="A66" s="30"/>
      <c r="B66" s="32"/>
      <c r="C66" s="32"/>
      <c r="D66" s="33" t="str">
        <f>IF(C66="","",IFERROR(INDEX(품목마스터!$B$2:$B$300,MATCH(C66,품목마스터!$A$2:$A$300,0)),"※미등록"))</f>
        <v/>
      </c>
      <c r="E66" s="31"/>
      <c r="F66" s="32"/>
      <c r="G66" s="32"/>
      <c r="H66" s="32"/>
      <c r="I66" s="32"/>
      <c r="J66" s="32"/>
      <c r="K66" s="32"/>
      <c r="L66" s="32"/>
      <c r="M66" s="32"/>
      <c r="N66" s="32"/>
    </row>
    <row r="67" spans="1:14" ht="15" customHeight="1">
      <c r="A67" s="30"/>
      <c r="B67" s="32"/>
      <c r="C67" s="32"/>
      <c r="D67" s="33" t="str">
        <f>IF(C67="","",IFERROR(INDEX(품목마스터!$B$2:$B$300,MATCH(C67,품목마스터!$A$2:$A$300,0)),"※미등록"))</f>
        <v/>
      </c>
      <c r="E67" s="31"/>
      <c r="F67" s="32"/>
      <c r="G67" s="32"/>
      <c r="H67" s="32"/>
      <c r="I67" s="32"/>
      <c r="J67" s="32"/>
      <c r="K67" s="32"/>
      <c r="L67" s="32"/>
      <c r="M67" s="32"/>
      <c r="N67" s="32"/>
    </row>
    <row r="68" spans="1:14" ht="15" customHeight="1">
      <c r="A68" s="30"/>
      <c r="B68" s="32"/>
      <c r="C68" s="32"/>
      <c r="D68" s="33" t="str">
        <f>IF(C68="","",IFERROR(INDEX(품목마스터!$B$2:$B$300,MATCH(C68,품목마스터!$A$2:$A$300,0)),"※미등록"))</f>
        <v/>
      </c>
      <c r="E68" s="31"/>
      <c r="F68" s="32"/>
      <c r="G68" s="32"/>
      <c r="H68" s="32"/>
      <c r="I68" s="32"/>
      <c r="J68" s="32"/>
      <c r="K68" s="32"/>
      <c r="L68" s="32"/>
      <c r="M68" s="32"/>
      <c r="N68" s="32"/>
    </row>
    <row r="69" spans="1:14" ht="15" customHeight="1">
      <c r="A69" s="30"/>
      <c r="B69" s="32"/>
      <c r="C69" s="32"/>
      <c r="D69" s="33" t="str">
        <f>IF(C69="","",IFERROR(INDEX(품목마스터!$B$2:$B$300,MATCH(C69,품목마스터!$A$2:$A$300,0)),"※미등록"))</f>
        <v/>
      </c>
      <c r="E69" s="31"/>
      <c r="F69" s="32"/>
      <c r="G69" s="32"/>
      <c r="H69" s="32"/>
      <c r="I69" s="32"/>
      <c r="J69" s="32"/>
      <c r="K69" s="32"/>
      <c r="L69" s="32"/>
      <c r="M69" s="32"/>
      <c r="N69" s="32"/>
    </row>
    <row r="70" spans="1:14" ht="15" customHeight="1">
      <c r="A70" s="30"/>
      <c r="B70" s="32"/>
      <c r="C70" s="32"/>
      <c r="D70" s="33" t="str">
        <f>IF(C70="","",IFERROR(INDEX(품목마스터!$B$2:$B$300,MATCH(C70,품목마스터!$A$2:$A$300,0)),"※미등록"))</f>
        <v/>
      </c>
      <c r="E70" s="31"/>
      <c r="F70" s="32"/>
      <c r="G70" s="32"/>
      <c r="H70" s="32"/>
      <c r="I70" s="32"/>
      <c r="J70" s="32"/>
      <c r="K70" s="32"/>
      <c r="L70" s="32"/>
      <c r="M70" s="32"/>
      <c r="N70" s="32"/>
    </row>
    <row r="71" spans="1:14" ht="15" customHeight="1">
      <c r="A71" s="30"/>
      <c r="B71" s="32"/>
      <c r="C71" s="32"/>
      <c r="D71" s="33" t="str">
        <f>IF(C71="","",IFERROR(INDEX(품목마스터!$B$2:$B$300,MATCH(C71,품목마스터!$A$2:$A$300,0)),"※미등록"))</f>
        <v/>
      </c>
      <c r="E71" s="31"/>
      <c r="F71" s="32"/>
      <c r="G71" s="32"/>
      <c r="H71" s="32"/>
      <c r="I71" s="32"/>
      <c r="J71" s="32"/>
      <c r="K71" s="32"/>
      <c r="L71" s="32"/>
      <c r="M71" s="32"/>
      <c r="N71" s="32"/>
    </row>
    <row r="72" spans="1:14" ht="15" customHeight="1">
      <c r="A72" s="30"/>
      <c r="B72" s="32"/>
      <c r="C72" s="32"/>
      <c r="D72" s="33" t="str">
        <f>IF(C72="","",IFERROR(INDEX(품목마스터!$B$2:$B$300,MATCH(C72,품목마스터!$A$2:$A$300,0)),"※미등록"))</f>
        <v/>
      </c>
      <c r="E72" s="31"/>
      <c r="F72" s="32"/>
      <c r="G72" s="32"/>
      <c r="H72" s="32"/>
      <c r="I72" s="32"/>
      <c r="J72" s="32"/>
      <c r="K72" s="32"/>
      <c r="L72" s="32"/>
      <c r="M72" s="32"/>
      <c r="N72" s="32"/>
    </row>
    <row r="73" spans="1:14" ht="15" customHeight="1">
      <c r="A73" s="30"/>
      <c r="B73" s="32"/>
      <c r="C73" s="32"/>
      <c r="D73" s="33" t="str">
        <f>IF(C73="","",IFERROR(INDEX(품목마스터!$B$2:$B$300,MATCH(C73,품목마스터!$A$2:$A$300,0)),"※미등록"))</f>
        <v/>
      </c>
      <c r="E73" s="31"/>
      <c r="F73" s="32"/>
      <c r="G73" s="32"/>
      <c r="H73" s="32"/>
      <c r="I73" s="32"/>
      <c r="J73" s="32"/>
      <c r="K73" s="32"/>
      <c r="L73" s="32"/>
      <c r="M73" s="32"/>
      <c r="N73" s="32"/>
    </row>
    <row r="74" spans="1:14" ht="15" customHeight="1">
      <c r="A74" s="30"/>
      <c r="B74" s="32"/>
      <c r="C74" s="32"/>
      <c r="D74" s="33" t="str">
        <f>IF(C74="","",IFERROR(INDEX(품목마스터!$B$2:$B$300,MATCH(C74,품목마스터!$A$2:$A$300,0)),"※미등록"))</f>
        <v/>
      </c>
      <c r="E74" s="31"/>
      <c r="F74" s="32"/>
      <c r="G74" s="32"/>
      <c r="H74" s="32"/>
      <c r="I74" s="32"/>
      <c r="J74" s="32"/>
      <c r="K74" s="32"/>
      <c r="L74" s="32"/>
      <c r="M74" s="32"/>
      <c r="N74" s="32"/>
    </row>
    <row r="75" spans="1:14" ht="15" customHeight="1">
      <c r="A75" s="30"/>
      <c r="B75" s="32"/>
      <c r="C75" s="32"/>
      <c r="D75" s="33" t="str">
        <f>IF(C75="","",IFERROR(INDEX(품목마스터!$B$2:$B$300,MATCH(C75,품목마스터!$A$2:$A$300,0)),"※미등록"))</f>
        <v/>
      </c>
      <c r="E75" s="31"/>
      <c r="F75" s="32"/>
      <c r="G75" s="32"/>
      <c r="H75" s="32"/>
      <c r="I75" s="32"/>
      <c r="J75" s="32"/>
      <c r="K75" s="32"/>
      <c r="L75" s="32"/>
      <c r="M75" s="32"/>
      <c r="N75" s="32"/>
    </row>
    <row r="76" spans="1:14" ht="15" customHeight="1">
      <c r="A76" s="30"/>
      <c r="B76" s="32"/>
      <c r="C76" s="32"/>
      <c r="D76" s="33" t="str">
        <f>IF(C76="","",IFERROR(INDEX(품목마스터!$B$2:$B$300,MATCH(C76,품목마스터!$A$2:$A$300,0)),"※미등록"))</f>
        <v/>
      </c>
      <c r="E76" s="31"/>
      <c r="F76" s="32"/>
      <c r="G76" s="32"/>
      <c r="H76" s="32"/>
      <c r="I76" s="32"/>
      <c r="J76" s="32"/>
      <c r="K76" s="32"/>
      <c r="L76" s="32"/>
      <c r="M76" s="32"/>
      <c r="N76" s="32"/>
    </row>
    <row r="77" spans="1:14" ht="15" customHeight="1">
      <c r="A77" s="30"/>
      <c r="B77" s="32"/>
      <c r="C77" s="32"/>
      <c r="D77" s="33" t="str">
        <f>IF(C77="","",IFERROR(INDEX(품목마스터!$B$2:$B$300,MATCH(C77,품목마스터!$A$2:$A$300,0)),"※미등록"))</f>
        <v/>
      </c>
      <c r="E77" s="31"/>
      <c r="F77" s="32"/>
      <c r="G77" s="32"/>
      <c r="H77" s="32"/>
      <c r="I77" s="32"/>
      <c r="J77" s="32"/>
      <c r="K77" s="32"/>
      <c r="L77" s="32"/>
      <c r="M77" s="32"/>
      <c r="N77" s="32"/>
    </row>
    <row r="78" spans="1:14" ht="15" customHeight="1">
      <c r="A78" s="30"/>
      <c r="B78" s="32"/>
      <c r="C78" s="32"/>
      <c r="D78" s="33" t="str">
        <f>IF(C78="","",IFERROR(INDEX(품목마스터!$B$2:$B$300,MATCH(C78,품목마스터!$A$2:$A$300,0)),"※미등록"))</f>
        <v/>
      </c>
      <c r="E78" s="31"/>
      <c r="F78" s="32"/>
      <c r="G78" s="32"/>
      <c r="H78" s="32"/>
      <c r="I78" s="32"/>
      <c r="J78" s="32"/>
      <c r="K78" s="32"/>
      <c r="L78" s="32"/>
      <c r="M78" s="32"/>
      <c r="N78" s="32"/>
    </row>
    <row r="79" spans="1:14" ht="15" customHeight="1">
      <c r="A79" s="30"/>
      <c r="B79" s="32"/>
      <c r="C79" s="32"/>
      <c r="D79" s="33" t="str">
        <f>IF(C79="","",IFERROR(INDEX(품목마스터!$B$2:$B$300,MATCH(C79,품목마스터!$A$2:$A$300,0)),"※미등록"))</f>
        <v/>
      </c>
      <c r="E79" s="31"/>
      <c r="F79" s="32"/>
      <c r="G79" s="32"/>
      <c r="H79" s="32"/>
      <c r="I79" s="32"/>
      <c r="J79" s="32"/>
      <c r="K79" s="32"/>
      <c r="L79" s="32"/>
      <c r="M79" s="32"/>
      <c r="N79" s="32"/>
    </row>
    <row r="80" spans="1:14" ht="15" customHeight="1">
      <c r="A80" s="30"/>
      <c r="B80" s="32"/>
      <c r="C80" s="32"/>
      <c r="D80" s="33" t="str">
        <f>IF(C80="","",IFERROR(INDEX(품목마스터!$B$2:$B$300,MATCH(C80,품목마스터!$A$2:$A$300,0)),"※미등록"))</f>
        <v/>
      </c>
      <c r="E80" s="31"/>
      <c r="F80" s="32"/>
      <c r="G80" s="32"/>
      <c r="H80" s="32"/>
      <c r="I80" s="32"/>
      <c r="J80" s="32"/>
      <c r="K80" s="32"/>
      <c r="L80" s="32"/>
      <c r="M80" s="32"/>
      <c r="N80" s="32"/>
    </row>
    <row r="81" spans="1:14" ht="15" customHeight="1">
      <c r="A81" s="30"/>
      <c r="B81" s="32"/>
      <c r="C81" s="32"/>
      <c r="D81" s="33" t="str">
        <f>IF(C81="","",IFERROR(INDEX(품목마스터!$B$2:$B$300,MATCH(C81,품목마스터!$A$2:$A$300,0)),"※미등록"))</f>
        <v/>
      </c>
      <c r="E81" s="31"/>
      <c r="F81" s="32"/>
      <c r="G81" s="32"/>
      <c r="H81" s="32"/>
      <c r="I81" s="32"/>
      <c r="J81" s="32"/>
      <c r="K81" s="32"/>
      <c r="L81" s="32"/>
      <c r="M81" s="32"/>
      <c r="N81" s="32"/>
    </row>
    <row r="82" spans="1:14" ht="15" customHeight="1">
      <c r="A82" s="30"/>
      <c r="B82" s="32"/>
      <c r="C82" s="32"/>
      <c r="D82" s="33" t="str">
        <f>IF(C82="","",IFERROR(INDEX(품목마스터!$B$2:$B$300,MATCH(C82,품목마스터!$A$2:$A$300,0)),"※미등록"))</f>
        <v/>
      </c>
      <c r="E82" s="31"/>
      <c r="F82" s="32"/>
      <c r="G82" s="32"/>
      <c r="H82" s="32"/>
      <c r="I82" s="32"/>
      <c r="J82" s="32"/>
      <c r="K82" s="32"/>
      <c r="L82" s="32"/>
      <c r="M82" s="32"/>
      <c r="N82" s="32"/>
    </row>
    <row r="83" spans="1:14" ht="15" customHeight="1">
      <c r="A83" s="30"/>
      <c r="B83" s="32"/>
      <c r="C83" s="32"/>
      <c r="D83" s="33" t="str">
        <f>IF(C83="","",IFERROR(INDEX(품목마스터!$B$2:$B$300,MATCH(C83,품목마스터!$A$2:$A$300,0)),"※미등록"))</f>
        <v/>
      </c>
      <c r="E83" s="31"/>
      <c r="F83" s="32"/>
      <c r="G83" s="32"/>
      <c r="H83" s="32"/>
      <c r="I83" s="32"/>
      <c r="J83" s="32"/>
      <c r="K83" s="32"/>
      <c r="L83" s="32"/>
      <c r="M83" s="32"/>
      <c r="N83" s="32"/>
    </row>
    <row r="84" spans="1:14" ht="15" customHeight="1">
      <c r="A84" s="30"/>
      <c r="B84" s="32"/>
      <c r="C84" s="32"/>
      <c r="D84" s="33" t="str">
        <f>IF(C84="","",IFERROR(INDEX(품목마스터!$B$2:$B$300,MATCH(C84,품목마스터!$A$2:$A$300,0)),"※미등록"))</f>
        <v/>
      </c>
      <c r="E84" s="31"/>
      <c r="F84" s="32"/>
      <c r="G84" s="32"/>
      <c r="H84" s="32"/>
      <c r="I84" s="32"/>
      <c r="J84" s="32"/>
      <c r="K84" s="32"/>
      <c r="L84" s="32"/>
      <c r="M84" s="32"/>
      <c r="N84" s="32"/>
    </row>
    <row r="85" spans="1:14" ht="15" customHeight="1">
      <c r="A85" s="30"/>
      <c r="B85" s="32"/>
      <c r="C85" s="32"/>
      <c r="D85" s="33" t="str">
        <f>IF(C85="","",IFERROR(INDEX(품목마스터!$B$2:$B$300,MATCH(C85,품목마스터!$A$2:$A$300,0)),"※미등록"))</f>
        <v/>
      </c>
      <c r="E85" s="31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>
      <c r="A86" s="30"/>
      <c r="B86" s="32"/>
      <c r="C86" s="32"/>
      <c r="D86" s="33" t="str">
        <f>IF(C86="","",IFERROR(INDEX(품목마스터!$B$2:$B$300,MATCH(C86,품목마스터!$A$2:$A$300,0)),"※미등록"))</f>
        <v/>
      </c>
      <c r="E86" s="31"/>
      <c r="F86" s="32"/>
      <c r="G86" s="32"/>
      <c r="H86" s="32"/>
      <c r="I86" s="32"/>
      <c r="J86" s="32"/>
      <c r="K86" s="32"/>
      <c r="L86" s="32"/>
      <c r="M86" s="32"/>
      <c r="N86" s="32"/>
    </row>
    <row r="87" spans="1:14" ht="15" customHeight="1">
      <c r="A87" s="30"/>
      <c r="B87" s="32"/>
      <c r="C87" s="32"/>
      <c r="D87" s="33" t="str">
        <f>IF(C87="","",IFERROR(INDEX(품목마스터!$B$2:$B$300,MATCH(C87,품목마스터!$A$2:$A$300,0)),"※미등록"))</f>
        <v/>
      </c>
      <c r="E87" s="31"/>
      <c r="F87" s="32"/>
      <c r="G87" s="32"/>
      <c r="H87" s="32"/>
      <c r="I87" s="32"/>
      <c r="J87" s="32"/>
      <c r="K87" s="32"/>
      <c r="L87" s="32"/>
      <c r="M87" s="32"/>
      <c r="N87" s="32"/>
    </row>
    <row r="88" spans="1:14" ht="15" customHeight="1">
      <c r="A88" s="30"/>
      <c r="B88" s="32"/>
      <c r="C88" s="32"/>
      <c r="D88" s="33" t="str">
        <f>IF(C88="","",IFERROR(INDEX(품목마스터!$B$2:$B$300,MATCH(C88,품목마스터!$A$2:$A$300,0)),"※미등록"))</f>
        <v/>
      </c>
      <c r="E88" s="31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>
      <c r="A89" s="30"/>
      <c r="B89" s="32"/>
      <c r="C89" s="32"/>
      <c r="D89" s="33" t="str">
        <f>IF(C89="","",IFERROR(INDEX(품목마스터!$B$2:$B$300,MATCH(C89,품목마스터!$A$2:$A$300,0)),"※미등록"))</f>
        <v/>
      </c>
      <c r="E89" s="31"/>
      <c r="F89" s="32"/>
      <c r="G89" s="32"/>
      <c r="H89" s="32"/>
      <c r="I89" s="32"/>
      <c r="J89" s="32"/>
      <c r="K89" s="32"/>
      <c r="L89" s="32"/>
      <c r="M89" s="32"/>
      <c r="N89" s="32"/>
    </row>
    <row r="90" spans="1:14" ht="15" customHeight="1">
      <c r="A90" s="30"/>
      <c r="B90" s="32"/>
      <c r="C90" s="32"/>
      <c r="D90" s="33" t="str">
        <f>IF(C90="","",IFERROR(INDEX(품목마스터!$B$2:$B$300,MATCH(C90,품목마스터!$A$2:$A$300,0)),"※미등록"))</f>
        <v/>
      </c>
      <c r="E90" s="31"/>
      <c r="F90" s="32"/>
      <c r="G90" s="32"/>
      <c r="H90" s="32"/>
      <c r="I90" s="32"/>
      <c r="J90" s="32"/>
      <c r="K90" s="32"/>
      <c r="L90" s="32"/>
      <c r="M90" s="32"/>
      <c r="N90" s="32"/>
    </row>
    <row r="91" spans="1:14" ht="15" customHeight="1">
      <c r="A91" s="30"/>
      <c r="B91" s="32"/>
      <c r="C91" s="32"/>
      <c r="D91" s="33" t="str">
        <f>IF(C91="","",IFERROR(INDEX(품목마스터!$B$2:$B$300,MATCH(C91,품목마스터!$A$2:$A$300,0)),"※미등록"))</f>
        <v/>
      </c>
      <c r="E91" s="31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>
      <c r="A92" s="30"/>
      <c r="B92" s="32"/>
      <c r="C92" s="32"/>
      <c r="D92" s="33" t="str">
        <f>IF(C92="","",IFERROR(INDEX(품목마스터!$B$2:$B$300,MATCH(C92,품목마스터!$A$2:$A$300,0)),"※미등록"))</f>
        <v/>
      </c>
      <c r="E92" s="31"/>
      <c r="F92" s="32"/>
      <c r="G92" s="32"/>
      <c r="H92" s="32"/>
      <c r="I92" s="32"/>
      <c r="J92" s="32"/>
      <c r="K92" s="32"/>
      <c r="L92" s="32"/>
      <c r="M92" s="32"/>
      <c r="N92" s="32"/>
    </row>
    <row r="93" spans="1:14" ht="15" customHeight="1">
      <c r="A93" s="30"/>
      <c r="B93" s="32"/>
      <c r="C93" s="32"/>
      <c r="D93" s="33" t="str">
        <f>IF(C93="","",IFERROR(INDEX(품목마스터!$B$2:$B$300,MATCH(C93,품목마스터!$A$2:$A$300,0)),"※미등록"))</f>
        <v/>
      </c>
      <c r="E93" s="31"/>
      <c r="F93" s="32"/>
      <c r="G93" s="32"/>
      <c r="H93" s="32"/>
      <c r="I93" s="32"/>
      <c r="J93" s="32"/>
      <c r="K93" s="32"/>
      <c r="L93" s="32"/>
      <c r="M93" s="32"/>
      <c r="N93" s="32"/>
    </row>
    <row r="94" spans="1:14" ht="15" customHeight="1">
      <c r="A94" s="30"/>
      <c r="B94" s="32"/>
      <c r="C94" s="32"/>
      <c r="D94" s="33" t="str">
        <f>IF(C94="","",IFERROR(INDEX(품목마스터!$B$2:$B$300,MATCH(C94,품목마스터!$A$2:$A$300,0)),"※미등록"))</f>
        <v/>
      </c>
      <c r="E94" s="31"/>
      <c r="F94" s="32"/>
      <c r="G94" s="32"/>
      <c r="H94" s="32"/>
      <c r="I94" s="32"/>
      <c r="J94" s="32"/>
      <c r="K94" s="32"/>
      <c r="L94" s="32"/>
      <c r="M94" s="32"/>
      <c r="N94" s="32"/>
    </row>
    <row r="95" spans="1:14" ht="15" customHeight="1">
      <c r="A95" s="30"/>
      <c r="B95" s="32"/>
      <c r="C95" s="32"/>
      <c r="D95" s="33" t="str">
        <f>IF(C95="","",IFERROR(INDEX(품목마스터!$B$2:$B$300,MATCH(C95,품목마스터!$A$2:$A$300,0)),"※미등록"))</f>
        <v/>
      </c>
      <c r="E95" s="31"/>
      <c r="F95" s="32"/>
      <c r="G95" s="32"/>
      <c r="H95" s="32"/>
      <c r="I95" s="32"/>
      <c r="J95" s="32"/>
      <c r="K95" s="32"/>
      <c r="L95" s="32"/>
      <c r="M95" s="32"/>
      <c r="N95" s="32"/>
    </row>
    <row r="96" spans="1:14" ht="15" customHeight="1">
      <c r="A96" s="30"/>
      <c r="B96" s="32"/>
      <c r="C96" s="32"/>
      <c r="D96" s="33" t="str">
        <f>IF(C96="","",IFERROR(INDEX(품목마스터!$B$2:$B$300,MATCH(C96,품목마스터!$A$2:$A$300,0)),"※미등록"))</f>
        <v/>
      </c>
      <c r="E96" s="31"/>
      <c r="F96" s="32"/>
      <c r="G96" s="32"/>
      <c r="H96" s="32"/>
      <c r="I96" s="32"/>
      <c r="J96" s="32"/>
      <c r="K96" s="32"/>
      <c r="L96" s="32"/>
      <c r="M96" s="32"/>
      <c r="N96" s="32"/>
    </row>
    <row r="97" spans="1:14" ht="15" customHeight="1">
      <c r="A97" s="30"/>
      <c r="B97" s="32"/>
      <c r="C97" s="32"/>
      <c r="D97" s="33" t="str">
        <f>IF(C97="","",IFERROR(INDEX(품목마스터!$B$2:$B$300,MATCH(C97,품목마스터!$A$2:$A$300,0)),"※미등록"))</f>
        <v/>
      </c>
      <c r="E97" s="31"/>
      <c r="F97" s="32"/>
      <c r="G97" s="32"/>
      <c r="H97" s="32"/>
      <c r="I97" s="32"/>
      <c r="J97" s="32"/>
      <c r="K97" s="32"/>
      <c r="L97" s="32"/>
      <c r="M97" s="32"/>
      <c r="N97" s="32"/>
    </row>
    <row r="98" spans="1:14" ht="15" customHeight="1">
      <c r="A98" s="30"/>
      <c r="B98" s="32"/>
      <c r="C98" s="32"/>
      <c r="D98" s="33" t="str">
        <f>IF(C98="","",IFERROR(INDEX(품목마스터!$B$2:$B$300,MATCH(C98,품목마스터!$A$2:$A$300,0)),"※미등록"))</f>
        <v/>
      </c>
      <c r="E98" s="31"/>
      <c r="F98" s="32"/>
      <c r="G98" s="32"/>
      <c r="H98" s="32"/>
      <c r="I98" s="32"/>
      <c r="J98" s="32"/>
      <c r="K98" s="32"/>
      <c r="L98" s="32"/>
      <c r="M98" s="32"/>
      <c r="N98" s="32"/>
    </row>
    <row r="99" spans="1:14" ht="15" customHeight="1">
      <c r="A99" s="30"/>
      <c r="B99" s="32"/>
      <c r="C99" s="32"/>
      <c r="D99" s="33" t="str">
        <f>IF(C99="","",IFERROR(INDEX(품목마스터!$B$2:$B$300,MATCH(C99,품목마스터!$A$2:$A$300,0)),"※미등록"))</f>
        <v/>
      </c>
      <c r="E99" s="31"/>
      <c r="F99" s="32"/>
      <c r="G99" s="32"/>
      <c r="H99" s="32"/>
      <c r="I99" s="32"/>
      <c r="J99" s="32"/>
      <c r="K99" s="32"/>
      <c r="L99" s="32"/>
      <c r="M99" s="32"/>
      <c r="N99" s="32"/>
    </row>
    <row r="100" spans="1:14" ht="15" customHeight="1">
      <c r="A100" s="30"/>
      <c r="B100" s="32"/>
      <c r="C100" s="32"/>
      <c r="D100" s="33" t="str">
        <f>IF(C100="","",IFERROR(INDEX(품목마스터!$B$2:$B$300,MATCH(C100,품목마스터!$A$2:$A$300,0)),"※미등록"))</f>
        <v/>
      </c>
      <c r="E100" s="31"/>
      <c r="F100" s="32"/>
      <c r="G100" s="32"/>
      <c r="H100" s="32"/>
      <c r="I100" s="32"/>
      <c r="J100" s="32"/>
      <c r="K100" s="32"/>
      <c r="L100" s="32"/>
      <c r="M100" s="32"/>
      <c r="N100" s="32"/>
    </row>
    <row r="101" spans="1:14" ht="15" customHeight="1">
      <c r="A101" s="30"/>
      <c r="B101" s="32"/>
      <c r="C101" s="32"/>
      <c r="D101" s="33" t="str">
        <f>IF(C101="","",IFERROR(INDEX(품목마스터!$B$2:$B$300,MATCH(C101,품목마스터!$A$2:$A$300,0)),"※미등록"))</f>
        <v/>
      </c>
      <c r="E101" s="31"/>
      <c r="F101" s="32"/>
      <c r="G101" s="32"/>
      <c r="H101" s="32"/>
      <c r="I101" s="32"/>
      <c r="J101" s="32"/>
      <c r="K101" s="32"/>
      <c r="L101" s="32"/>
      <c r="M101" s="32"/>
      <c r="N101" s="32"/>
    </row>
    <row r="102" spans="1:14" ht="15" customHeight="1">
      <c r="A102" s="30"/>
      <c r="B102" s="32"/>
      <c r="C102" s="32"/>
      <c r="D102" s="33" t="str">
        <f>IF(C102="","",IFERROR(INDEX(품목마스터!$B$2:$B$300,MATCH(C102,품목마스터!$A$2:$A$300,0)),"※미등록"))</f>
        <v/>
      </c>
      <c r="E102" s="31"/>
      <c r="F102" s="32"/>
      <c r="G102" s="32"/>
      <c r="H102" s="32"/>
      <c r="I102" s="32"/>
      <c r="J102" s="32"/>
      <c r="K102" s="32"/>
      <c r="L102" s="32"/>
      <c r="M102" s="32"/>
      <c r="N102" s="32"/>
    </row>
    <row r="103" spans="1:14" ht="15" customHeight="1">
      <c r="A103" s="30"/>
      <c r="B103" s="32"/>
      <c r="C103" s="32"/>
      <c r="D103" s="33" t="str">
        <f>IF(C103="","",IFERROR(INDEX(품목마스터!$B$2:$B$300,MATCH(C103,품목마스터!$A$2:$A$300,0)),"※미등록"))</f>
        <v/>
      </c>
      <c r="E103" s="31"/>
      <c r="F103" s="32"/>
      <c r="G103" s="32"/>
      <c r="H103" s="32"/>
      <c r="I103" s="32"/>
      <c r="J103" s="32"/>
      <c r="K103" s="32"/>
      <c r="L103" s="32"/>
      <c r="M103" s="32"/>
      <c r="N103" s="32"/>
    </row>
    <row r="104" spans="1:14" ht="15" customHeight="1">
      <c r="A104" s="30"/>
      <c r="B104" s="32"/>
      <c r="C104" s="32"/>
      <c r="D104" s="33" t="str">
        <f>IF(C104="","",IFERROR(INDEX(품목마스터!$B$2:$B$300,MATCH(C104,품목마스터!$A$2:$A$300,0)),"※미등록"))</f>
        <v/>
      </c>
      <c r="E104" s="31"/>
      <c r="F104" s="32"/>
      <c r="G104" s="32"/>
      <c r="H104" s="32"/>
      <c r="I104" s="32"/>
      <c r="J104" s="32"/>
      <c r="K104" s="32"/>
      <c r="L104" s="32"/>
      <c r="M104" s="32"/>
      <c r="N104" s="32"/>
    </row>
    <row r="105" spans="1:14" ht="15" customHeight="1">
      <c r="A105" s="30"/>
      <c r="B105" s="32"/>
      <c r="C105" s="32"/>
      <c r="D105" s="33" t="str">
        <f>IF(C105="","",IFERROR(INDEX(품목마스터!$B$2:$B$300,MATCH(C105,품목마스터!$A$2:$A$300,0)),"※미등록"))</f>
        <v/>
      </c>
      <c r="E105" s="31"/>
      <c r="F105" s="32"/>
      <c r="G105" s="32"/>
      <c r="H105" s="32"/>
      <c r="I105" s="32"/>
      <c r="J105" s="32"/>
      <c r="K105" s="32"/>
      <c r="L105" s="32"/>
      <c r="M105" s="32"/>
      <c r="N105" s="32"/>
    </row>
    <row r="106" spans="1:14" ht="15" customHeight="1">
      <c r="A106" s="30"/>
      <c r="B106" s="32"/>
      <c r="C106" s="32"/>
      <c r="D106" s="33" t="str">
        <f>IF(C106="","",IFERROR(INDEX(품목마스터!$B$2:$B$300,MATCH(C106,품목마스터!$A$2:$A$300,0)),"※미등록"))</f>
        <v/>
      </c>
      <c r="E106" s="31"/>
      <c r="F106" s="32"/>
      <c r="G106" s="32"/>
      <c r="H106" s="32"/>
      <c r="I106" s="32"/>
      <c r="J106" s="32"/>
      <c r="K106" s="32"/>
      <c r="L106" s="32"/>
      <c r="M106" s="32"/>
      <c r="N106" s="32"/>
    </row>
    <row r="107" spans="1:14" ht="15" customHeight="1">
      <c r="A107" s="30"/>
      <c r="B107" s="32"/>
      <c r="C107" s="32"/>
      <c r="D107" s="33" t="str">
        <f>IF(C107="","",IFERROR(INDEX(품목마스터!$B$2:$B$300,MATCH(C107,품목마스터!$A$2:$A$300,0)),"※미등록"))</f>
        <v/>
      </c>
      <c r="E107" s="31"/>
      <c r="F107" s="32"/>
      <c r="G107" s="32"/>
      <c r="H107" s="32"/>
      <c r="I107" s="32"/>
      <c r="J107" s="32"/>
      <c r="K107" s="32"/>
      <c r="L107" s="32"/>
      <c r="M107" s="32"/>
      <c r="N107" s="32"/>
    </row>
    <row r="108" spans="1:14" ht="15" customHeight="1">
      <c r="A108" s="30"/>
      <c r="B108" s="32"/>
      <c r="C108" s="32"/>
      <c r="D108" s="33" t="str">
        <f>IF(C108="","",IFERROR(INDEX(품목마스터!$B$2:$B$300,MATCH(C108,품목마스터!$A$2:$A$300,0)),"※미등록"))</f>
        <v/>
      </c>
      <c r="E108" s="31"/>
      <c r="F108" s="32"/>
      <c r="G108" s="32"/>
      <c r="H108" s="32"/>
      <c r="I108" s="32"/>
      <c r="J108" s="32"/>
      <c r="K108" s="32"/>
      <c r="L108" s="32"/>
      <c r="M108" s="32"/>
      <c r="N108" s="32"/>
    </row>
    <row r="109" spans="1:14" ht="15" customHeight="1">
      <c r="A109" s="30"/>
      <c r="B109" s="32"/>
      <c r="C109" s="32"/>
      <c r="D109" s="33" t="str">
        <f>IF(C109="","",IFERROR(INDEX(품목마스터!$B$2:$B$300,MATCH(C109,품목마스터!$A$2:$A$300,0)),"※미등록"))</f>
        <v/>
      </c>
      <c r="E109" s="31"/>
      <c r="F109" s="32"/>
      <c r="G109" s="32"/>
      <c r="H109" s="32"/>
      <c r="I109" s="32"/>
      <c r="J109" s="32"/>
      <c r="K109" s="32"/>
      <c r="L109" s="32"/>
      <c r="M109" s="32"/>
      <c r="N109" s="32"/>
    </row>
    <row r="110" spans="1:14" ht="15" customHeight="1">
      <c r="A110" s="30"/>
      <c r="B110" s="32"/>
      <c r="C110" s="32"/>
      <c r="D110" s="33" t="str">
        <f>IF(C110="","",IFERROR(INDEX(품목마스터!$B$2:$B$300,MATCH(C110,품목마스터!$A$2:$A$300,0)),"※미등록"))</f>
        <v/>
      </c>
      <c r="E110" s="31"/>
      <c r="F110" s="32"/>
      <c r="G110" s="32"/>
      <c r="H110" s="32"/>
      <c r="I110" s="32"/>
      <c r="J110" s="32"/>
      <c r="K110" s="32"/>
      <c r="L110" s="32"/>
      <c r="M110" s="32"/>
      <c r="N110" s="32"/>
    </row>
    <row r="111" spans="1:14" ht="15" customHeight="1">
      <c r="A111" s="30"/>
      <c r="B111" s="32"/>
      <c r="C111" s="32"/>
      <c r="D111" s="33" t="str">
        <f>IF(C111="","",IFERROR(INDEX(품목마스터!$B$2:$B$300,MATCH(C111,품목마스터!$A$2:$A$300,0)),"※미등록"))</f>
        <v/>
      </c>
      <c r="E111" s="31"/>
      <c r="F111" s="32"/>
      <c r="G111" s="32"/>
      <c r="H111" s="32"/>
      <c r="I111" s="32"/>
      <c r="J111" s="32"/>
      <c r="K111" s="32"/>
      <c r="L111" s="32"/>
      <c r="M111" s="32"/>
      <c r="N111" s="32"/>
    </row>
    <row r="112" spans="1:14" ht="15" customHeight="1">
      <c r="A112" s="30"/>
      <c r="B112" s="32"/>
      <c r="C112" s="32"/>
      <c r="D112" s="33" t="str">
        <f>IF(C112="","",IFERROR(INDEX(품목마스터!$B$2:$B$300,MATCH(C112,품목마스터!$A$2:$A$300,0)),"※미등록"))</f>
        <v/>
      </c>
      <c r="E112" s="31"/>
      <c r="F112" s="32"/>
      <c r="G112" s="32"/>
      <c r="H112" s="32"/>
      <c r="I112" s="32"/>
      <c r="J112" s="32"/>
      <c r="K112" s="32"/>
      <c r="L112" s="32"/>
      <c r="M112" s="32"/>
      <c r="N112" s="32"/>
    </row>
    <row r="113" spans="1:14" ht="15" customHeight="1">
      <c r="A113" s="30"/>
      <c r="B113" s="32"/>
      <c r="C113" s="32"/>
      <c r="D113" s="33" t="str">
        <f>IF(C113="","",IFERROR(INDEX(품목마스터!$B$2:$B$300,MATCH(C113,품목마스터!$A$2:$A$300,0)),"※미등록"))</f>
        <v/>
      </c>
      <c r="E113" s="31"/>
      <c r="F113" s="32"/>
      <c r="G113" s="32"/>
      <c r="H113" s="32"/>
      <c r="I113" s="32"/>
      <c r="J113" s="32"/>
      <c r="K113" s="32"/>
      <c r="L113" s="32"/>
      <c r="M113" s="32"/>
      <c r="N113" s="32"/>
    </row>
    <row r="114" spans="1:14" ht="15" customHeight="1">
      <c r="A114" s="30"/>
      <c r="B114" s="32"/>
      <c r="C114" s="32"/>
      <c r="D114" s="33" t="str">
        <f>IF(C114="","",IFERROR(INDEX(품목마스터!$B$2:$B$300,MATCH(C114,품목마스터!$A$2:$A$300,0)),"※미등록"))</f>
        <v/>
      </c>
      <c r="E114" s="31"/>
      <c r="F114" s="32"/>
      <c r="G114" s="32"/>
      <c r="H114" s="32"/>
      <c r="I114" s="32"/>
      <c r="J114" s="32"/>
      <c r="K114" s="32"/>
      <c r="L114" s="32"/>
      <c r="M114" s="32"/>
      <c r="N114" s="32"/>
    </row>
    <row r="115" spans="1:14" ht="15" customHeight="1">
      <c r="A115" s="30"/>
      <c r="B115" s="32"/>
      <c r="C115" s="32"/>
      <c r="D115" s="33" t="str">
        <f>IF(C115="","",IFERROR(INDEX(품목마스터!$B$2:$B$300,MATCH(C115,품목마스터!$A$2:$A$300,0)),"※미등록"))</f>
        <v/>
      </c>
      <c r="E115" s="31"/>
      <c r="F115" s="32"/>
      <c r="G115" s="32"/>
      <c r="H115" s="32"/>
      <c r="I115" s="32"/>
      <c r="J115" s="32"/>
      <c r="K115" s="32"/>
      <c r="L115" s="32"/>
      <c r="M115" s="32"/>
      <c r="N115" s="32"/>
    </row>
    <row r="116" spans="1:14" ht="15" customHeight="1">
      <c r="A116" s="30"/>
      <c r="B116" s="32"/>
      <c r="C116" s="32"/>
      <c r="D116" s="33" t="str">
        <f>IF(C116="","",IFERROR(INDEX(품목마스터!$B$2:$B$300,MATCH(C116,품목마스터!$A$2:$A$300,0)),"※미등록"))</f>
        <v/>
      </c>
      <c r="E116" s="31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>
      <c r="A117" s="30"/>
      <c r="B117" s="32"/>
      <c r="C117" s="32"/>
      <c r="D117" s="33" t="str">
        <f>IF(C117="","",IFERROR(INDEX(품목마스터!$B$2:$B$300,MATCH(C117,품목마스터!$A$2:$A$300,0)),"※미등록"))</f>
        <v/>
      </c>
      <c r="E117" s="31"/>
      <c r="F117" s="32"/>
      <c r="G117" s="32"/>
      <c r="H117" s="32"/>
      <c r="I117" s="32"/>
      <c r="J117" s="32"/>
      <c r="K117" s="32"/>
      <c r="L117" s="32"/>
      <c r="M117" s="32"/>
      <c r="N117" s="32"/>
    </row>
    <row r="118" spans="1:14" ht="15" customHeight="1">
      <c r="A118" s="30"/>
      <c r="B118" s="32"/>
      <c r="C118" s="32"/>
      <c r="D118" s="33" t="str">
        <f>IF(C118="","",IFERROR(INDEX(품목마스터!$B$2:$B$300,MATCH(C118,품목마스터!$A$2:$A$300,0)),"※미등록"))</f>
        <v/>
      </c>
      <c r="E118" s="31"/>
      <c r="F118" s="32"/>
      <c r="G118" s="32"/>
      <c r="H118" s="32"/>
      <c r="I118" s="32"/>
      <c r="J118" s="32"/>
      <c r="K118" s="32"/>
      <c r="L118" s="32"/>
      <c r="M118" s="32"/>
      <c r="N118" s="32"/>
    </row>
    <row r="119" spans="1:14" ht="15" customHeight="1">
      <c r="A119" s="30"/>
      <c r="B119" s="32"/>
      <c r="C119" s="32"/>
      <c r="D119" s="33" t="str">
        <f>IF(C119="","",IFERROR(INDEX(품목마스터!$B$2:$B$300,MATCH(C119,품목마스터!$A$2:$A$300,0)),"※미등록"))</f>
        <v/>
      </c>
      <c r="E119" s="31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>
      <c r="A120" s="30"/>
      <c r="B120" s="32"/>
      <c r="C120" s="32"/>
      <c r="D120" s="33" t="str">
        <f>IF(C120="","",IFERROR(INDEX(품목마스터!$B$2:$B$300,MATCH(C120,품목마스터!$A$2:$A$300,0)),"※미등록"))</f>
        <v/>
      </c>
      <c r="E120" s="31"/>
      <c r="F120" s="32"/>
      <c r="G120" s="32"/>
      <c r="H120" s="32"/>
      <c r="I120" s="32"/>
      <c r="J120" s="32"/>
      <c r="K120" s="32"/>
      <c r="L120" s="32"/>
      <c r="M120" s="32"/>
      <c r="N120" s="32"/>
    </row>
    <row r="121" spans="1:14" ht="15" customHeight="1">
      <c r="A121" s="30"/>
      <c r="B121" s="32"/>
      <c r="C121" s="32"/>
      <c r="D121" s="33" t="str">
        <f>IF(C121="","",IFERROR(INDEX(품목마스터!$B$2:$B$300,MATCH(C121,품목마스터!$A$2:$A$300,0)),"※미등록"))</f>
        <v/>
      </c>
      <c r="E121" s="31"/>
      <c r="F121" s="32"/>
      <c r="G121" s="32"/>
      <c r="H121" s="32"/>
      <c r="I121" s="32"/>
      <c r="J121" s="32"/>
      <c r="K121" s="32"/>
      <c r="L121" s="32"/>
      <c r="M121" s="32"/>
      <c r="N121" s="32"/>
    </row>
    <row r="122" spans="1:14" ht="15" customHeight="1">
      <c r="A122" s="30"/>
      <c r="B122" s="32"/>
      <c r="C122" s="32"/>
      <c r="D122" s="33" t="str">
        <f>IF(C122="","",IFERROR(INDEX(품목마스터!$B$2:$B$300,MATCH(C122,품목마스터!$A$2:$A$300,0)),"※미등록"))</f>
        <v/>
      </c>
      <c r="E122" s="31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>
      <c r="A123" s="30"/>
      <c r="B123" s="32"/>
      <c r="C123" s="32"/>
      <c r="D123" s="33" t="str">
        <f>IF(C123="","",IFERROR(INDEX(품목마스터!$B$2:$B$300,MATCH(C123,품목마스터!$A$2:$A$300,0)),"※미등록"))</f>
        <v/>
      </c>
      <c r="E123" s="31"/>
      <c r="F123" s="32"/>
      <c r="G123" s="32"/>
      <c r="H123" s="32"/>
      <c r="I123" s="32"/>
      <c r="J123" s="32"/>
      <c r="K123" s="32"/>
      <c r="L123" s="32"/>
      <c r="M123" s="32"/>
      <c r="N123" s="32"/>
    </row>
    <row r="124" spans="1:14" ht="15" customHeight="1">
      <c r="A124" s="30"/>
      <c r="B124" s="32"/>
      <c r="C124" s="32"/>
      <c r="D124" s="33" t="str">
        <f>IF(C124="","",IFERROR(INDEX(품목마스터!$B$2:$B$300,MATCH(C124,품목마스터!$A$2:$A$300,0)),"※미등록"))</f>
        <v/>
      </c>
      <c r="E124" s="31"/>
      <c r="F124" s="32"/>
      <c r="G124" s="32"/>
      <c r="H124" s="32"/>
      <c r="I124" s="32"/>
      <c r="J124" s="32"/>
      <c r="K124" s="32"/>
      <c r="L124" s="32"/>
      <c r="M124" s="32"/>
      <c r="N124" s="32"/>
    </row>
    <row r="125" spans="1:14" ht="15" customHeight="1">
      <c r="A125" s="30"/>
      <c r="B125" s="32"/>
      <c r="C125" s="32"/>
      <c r="D125" s="33" t="str">
        <f>IF(C125="","",IFERROR(INDEX(품목마스터!$B$2:$B$300,MATCH(C125,품목마스터!$A$2:$A$300,0)),"※미등록"))</f>
        <v/>
      </c>
      <c r="E125" s="31"/>
      <c r="F125" s="32"/>
      <c r="G125" s="32"/>
      <c r="H125" s="32"/>
      <c r="I125" s="32"/>
      <c r="J125" s="32"/>
      <c r="K125" s="32"/>
      <c r="L125" s="32"/>
      <c r="M125" s="32"/>
      <c r="N125" s="32"/>
    </row>
    <row r="126" spans="1:14" ht="15" customHeight="1">
      <c r="A126" s="30"/>
      <c r="B126" s="32"/>
      <c r="C126" s="32"/>
      <c r="D126" s="33" t="str">
        <f>IF(C126="","",IFERROR(INDEX(품목마스터!$B$2:$B$300,MATCH(C126,품목마스터!$A$2:$A$300,0)),"※미등록"))</f>
        <v/>
      </c>
      <c r="E126" s="31"/>
      <c r="F126" s="32"/>
      <c r="G126" s="32"/>
      <c r="H126" s="32"/>
      <c r="I126" s="32"/>
      <c r="J126" s="32"/>
      <c r="K126" s="32"/>
      <c r="L126" s="32"/>
      <c r="M126" s="32"/>
      <c r="N126" s="32"/>
    </row>
    <row r="127" spans="1:14" ht="15" customHeight="1">
      <c r="A127" s="30"/>
      <c r="B127" s="32"/>
      <c r="C127" s="32"/>
      <c r="D127" s="33" t="str">
        <f>IF(C127="","",IFERROR(INDEX(품목마스터!$B$2:$B$300,MATCH(C127,품목마스터!$A$2:$A$300,0)),"※미등록"))</f>
        <v/>
      </c>
      <c r="E127" s="31"/>
      <c r="F127" s="32"/>
      <c r="G127" s="32"/>
      <c r="H127" s="32"/>
      <c r="I127" s="32"/>
      <c r="J127" s="32"/>
      <c r="K127" s="32"/>
      <c r="L127" s="32"/>
      <c r="M127" s="32"/>
      <c r="N127" s="32"/>
    </row>
    <row r="128" spans="1:14" ht="15" customHeight="1">
      <c r="A128" s="30"/>
      <c r="B128" s="32"/>
      <c r="C128" s="32"/>
      <c r="D128" s="33" t="str">
        <f>IF(C128="","",IFERROR(INDEX(품목마스터!$B$2:$B$300,MATCH(C128,품목마스터!$A$2:$A$300,0)),"※미등록"))</f>
        <v/>
      </c>
      <c r="E128" s="31"/>
      <c r="F128" s="32"/>
      <c r="G128" s="32"/>
      <c r="H128" s="32"/>
      <c r="I128" s="32"/>
      <c r="J128" s="32"/>
      <c r="K128" s="32"/>
      <c r="L128" s="32"/>
      <c r="M128" s="32"/>
      <c r="N128" s="32"/>
    </row>
    <row r="129" spans="1:14" ht="15" customHeight="1">
      <c r="A129" s="30"/>
      <c r="B129" s="32"/>
      <c r="C129" s="32"/>
      <c r="D129" s="33" t="str">
        <f>IF(C129="","",IFERROR(INDEX(품목마스터!$B$2:$B$300,MATCH(C129,품목마스터!$A$2:$A$300,0)),"※미등록"))</f>
        <v/>
      </c>
      <c r="E129" s="31"/>
      <c r="F129" s="32"/>
      <c r="G129" s="32"/>
      <c r="H129" s="32"/>
      <c r="I129" s="32"/>
      <c r="J129" s="32"/>
      <c r="K129" s="32"/>
      <c r="L129" s="32"/>
      <c r="M129" s="32"/>
      <c r="N129" s="32"/>
    </row>
    <row r="130" spans="1:14" ht="15" customHeight="1">
      <c r="A130" s="30"/>
      <c r="B130" s="32"/>
      <c r="C130" s="32"/>
      <c r="D130" s="33" t="str">
        <f>IF(C130="","",IFERROR(INDEX(품목마스터!$B$2:$B$300,MATCH(C130,품목마스터!$A$2:$A$300,0)),"※미등록"))</f>
        <v/>
      </c>
      <c r="E130" s="31"/>
      <c r="F130" s="32"/>
      <c r="G130" s="32"/>
      <c r="H130" s="32"/>
      <c r="I130" s="32"/>
      <c r="J130" s="32"/>
      <c r="K130" s="32"/>
      <c r="L130" s="32"/>
      <c r="M130" s="32"/>
      <c r="N130" s="32"/>
    </row>
    <row r="131" spans="1:14" ht="15" customHeight="1">
      <c r="A131" s="30"/>
      <c r="B131" s="32"/>
      <c r="C131" s="32"/>
      <c r="D131" s="33" t="str">
        <f>IF(C131="","",IFERROR(INDEX(품목마스터!$B$2:$B$300,MATCH(C131,품목마스터!$A$2:$A$300,0)),"※미등록"))</f>
        <v/>
      </c>
      <c r="E131" s="31"/>
      <c r="F131" s="32"/>
      <c r="G131" s="32"/>
      <c r="H131" s="32"/>
      <c r="I131" s="32"/>
      <c r="J131" s="32"/>
      <c r="K131" s="32"/>
      <c r="L131" s="32"/>
      <c r="M131" s="32"/>
      <c r="N131" s="32"/>
    </row>
    <row r="132" spans="1:14" ht="15" customHeight="1">
      <c r="A132" s="30"/>
      <c r="B132" s="32"/>
      <c r="C132" s="32"/>
      <c r="D132" s="33" t="str">
        <f>IF(C132="","",IFERROR(INDEX(품목마스터!$B$2:$B$300,MATCH(C132,품목마스터!$A$2:$A$300,0)),"※미등록"))</f>
        <v/>
      </c>
      <c r="E132" s="31"/>
      <c r="F132" s="32"/>
      <c r="G132" s="32"/>
      <c r="H132" s="32"/>
      <c r="I132" s="32"/>
      <c r="J132" s="32"/>
      <c r="K132" s="32"/>
      <c r="L132" s="32"/>
      <c r="M132" s="32"/>
      <c r="N132" s="32"/>
    </row>
    <row r="133" spans="1:14" ht="15" customHeight="1">
      <c r="A133" s="30"/>
      <c r="B133" s="32"/>
      <c r="C133" s="32"/>
      <c r="D133" s="33" t="str">
        <f>IF(C133="","",IFERROR(INDEX(품목마스터!$B$2:$B$300,MATCH(C133,품목마스터!$A$2:$A$300,0)),"※미등록"))</f>
        <v/>
      </c>
      <c r="E133" s="31"/>
      <c r="F133" s="32"/>
      <c r="G133" s="32"/>
      <c r="H133" s="32"/>
      <c r="I133" s="32"/>
      <c r="J133" s="32"/>
      <c r="K133" s="32"/>
      <c r="L133" s="32"/>
      <c r="M133" s="32"/>
      <c r="N133" s="32"/>
    </row>
    <row r="134" spans="1:14" ht="15" customHeight="1">
      <c r="A134" s="30"/>
      <c r="B134" s="32"/>
      <c r="C134" s="32"/>
      <c r="D134" s="33" t="str">
        <f>IF(C134="","",IFERROR(INDEX(품목마스터!$B$2:$B$300,MATCH(C134,품목마스터!$A$2:$A$300,0)),"※미등록"))</f>
        <v/>
      </c>
      <c r="E134" s="31"/>
      <c r="F134" s="32"/>
      <c r="G134" s="32"/>
      <c r="H134" s="32"/>
      <c r="I134" s="32"/>
      <c r="J134" s="32"/>
      <c r="K134" s="32"/>
      <c r="L134" s="32"/>
      <c r="M134" s="32"/>
      <c r="N134" s="32"/>
    </row>
    <row r="135" spans="1:14" ht="15" customHeight="1">
      <c r="A135" s="30"/>
      <c r="B135" s="32"/>
      <c r="C135" s="32"/>
      <c r="D135" s="33" t="str">
        <f>IF(C135="","",IFERROR(INDEX(품목마스터!$B$2:$B$300,MATCH(C135,품목마스터!$A$2:$A$300,0)),"※미등록"))</f>
        <v/>
      </c>
      <c r="E135" s="31"/>
      <c r="F135" s="32"/>
      <c r="G135" s="32"/>
      <c r="H135" s="32"/>
      <c r="I135" s="32"/>
      <c r="J135" s="32"/>
      <c r="K135" s="32"/>
      <c r="L135" s="32"/>
      <c r="M135" s="32"/>
      <c r="N135" s="32"/>
    </row>
    <row r="136" spans="1:14" ht="15" customHeight="1">
      <c r="A136" s="30"/>
      <c r="B136" s="32"/>
      <c r="C136" s="32"/>
      <c r="D136" s="33" t="str">
        <f>IF(C136="","",IFERROR(INDEX(품목마스터!$B$2:$B$300,MATCH(C136,품목마스터!$A$2:$A$300,0)),"※미등록"))</f>
        <v/>
      </c>
      <c r="E136" s="31"/>
      <c r="F136" s="32"/>
      <c r="G136" s="32"/>
      <c r="H136" s="32"/>
      <c r="I136" s="32"/>
      <c r="J136" s="32"/>
      <c r="K136" s="32"/>
      <c r="L136" s="32"/>
      <c r="M136" s="32"/>
      <c r="N136" s="32"/>
    </row>
    <row r="137" spans="1:14" ht="15" customHeight="1">
      <c r="A137" s="30"/>
      <c r="B137" s="32"/>
      <c r="C137" s="32"/>
      <c r="D137" s="33" t="str">
        <f>IF(C137="","",IFERROR(INDEX(품목마스터!$B$2:$B$300,MATCH(C137,품목마스터!$A$2:$A$300,0)),"※미등록"))</f>
        <v/>
      </c>
      <c r="E137" s="31"/>
      <c r="F137" s="32"/>
      <c r="G137" s="32"/>
      <c r="H137" s="32"/>
      <c r="I137" s="32"/>
      <c r="J137" s="32"/>
      <c r="K137" s="32"/>
      <c r="L137" s="32"/>
      <c r="M137" s="32"/>
      <c r="N137" s="32"/>
    </row>
    <row r="138" spans="1:14" ht="15" customHeight="1">
      <c r="A138" s="30"/>
      <c r="B138" s="32"/>
      <c r="C138" s="32"/>
      <c r="D138" s="33" t="str">
        <f>IF(C138="","",IFERROR(INDEX(품목마스터!$B$2:$B$300,MATCH(C138,품목마스터!$A$2:$A$300,0)),"※미등록"))</f>
        <v/>
      </c>
      <c r="E138" s="31"/>
      <c r="F138" s="32"/>
      <c r="G138" s="32"/>
      <c r="H138" s="32"/>
      <c r="I138" s="32"/>
      <c r="J138" s="32"/>
      <c r="K138" s="32"/>
      <c r="L138" s="32"/>
      <c r="M138" s="32"/>
      <c r="N138" s="32"/>
    </row>
    <row r="139" spans="1:14" ht="15" customHeight="1">
      <c r="A139" s="30"/>
      <c r="B139" s="32"/>
      <c r="C139" s="32"/>
      <c r="D139" s="33" t="str">
        <f>IF(C139="","",IFERROR(INDEX(품목마스터!$B$2:$B$300,MATCH(C139,품목마스터!$A$2:$A$300,0)),"※미등록"))</f>
        <v/>
      </c>
      <c r="E139" s="31"/>
      <c r="F139" s="32"/>
      <c r="G139" s="32"/>
      <c r="H139" s="32"/>
      <c r="I139" s="32"/>
      <c r="J139" s="32"/>
      <c r="K139" s="32"/>
      <c r="L139" s="32"/>
      <c r="M139" s="32"/>
      <c r="N139" s="32"/>
    </row>
    <row r="140" spans="1:14" ht="15" customHeight="1">
      <c r="A140" s="30"/>
      <c r="B140" s="32"/>
      <c r="C140" s="32"/>
      <c r="D140" s="33" t="str">
        <f>IF(C140="","",IFERROR(INDEX(품목마스터!$B$2:$B$300,MATCH(C140,품목마스터!$A$2:$A$300,0)),"※미등록"))</f>
        <v/>
      </c>
      <c r="E140" s="31"/>
      <c r="F140" s="32"/>
      <c r="G140" s="32"/>
      <c r="H140" s="32"/>
      <c r="I140" s="32"/>
      <c r="J140" s="32"/>
      <c r="K140" s="32"/>
      <c r="L140" s="32"/>
      <c r="M140" s="32"/>
      <c r="N140" s="32"/>
    </row>
    <row r="141" spans="1:14" ht="15" customHeight="1">
      <c r="A141" s="30"/>
      <c r="B141" s="32"/>
      <c r="C141" s="32"/>
      <c r="D141" s="33" t="str">
        <f>IF(C141="","",IFERROR(INDEX(품목마스터!$B$2:$B$300,MATCH(C141,품목마스터!$A$2:$A$300,0)),"※미등록"))</f>
        <v/>
      </c>
      <c r="E141" s="31"/>
      <c r="F141" s="32"/>
      <c r="G141" s="32"/>
      <c r="H141" s="32"/>
      <c r="I141" s="32"/>
      <c r="J141" s="32"/>
      <c r="K141" s="32"/>
      <c r="L141" s="32"/>
      <c r="M141" s="32"/>
      <c r="N141" s="32"/>
    </row>
    <row r="142" spans="1:14" ht="15" customHeight="1">
      <c r="A142" s="30"/>
      <c r="B142" s="32"/>
      <c r="C142" s="32"/>
      <c r="D142" s="33" t="str">
        <f>IF(C142="","",IFERROR(INDEX(품목마스터!$B$2:$B$300,MATCH(C142,품목마스터!$A$2:$A$300,0)),"※미등록"))</f>
        <v/>
      </c>
      <c r="E142" s="31"/>
      <c r="F142" s="32"/>
      <c r="G142" s="32"/>
      <c r="H142" s="32"/>
      <c r="I142" s="32"/>
      <c r="J142" s="32"/>
      <c r="K142" s="32"/>
      <c r="L142" s="32"/>
      <c r="M142" s="32"/>
      <c r="N142" s="32"/>
    </row>
    <row r="143" spans="1:14" ht="15" customHeight="1">
      <c r="A143" s="30"/>
      <c r="B143" s="32"/>
      <c r="C143" s="32"/>
      <c r="D143" s="33" t="str">
        <f>IF(C143="","",IFERROR(INDEX(품목마스터!$B$2:$B$300,MATCH(C143,품목마스터!$A$2:$A$300,0)),"※미등록"))</f>
        <v/>
      </c>
      <c r="E143" s="31"/>
      <c r="F143" s="32"/>
      <c r="G143" s="32"/>
      <c r="H143" s="32"/>
      <c r="I143" s="32"/>
      <c r="J143" s="32"/>
      <c r="K143" s="32"/>
      <c r="L143" s="32"/>
      <c r="M143" s="32"/>
      <c r="N143" s="32"/>
    </row>
    <row r="144" spans="1:14" ht="15" customHeight="1">
      <c r="A144" s="30"/>
      <c r="B144" s="32"/>
      <c r="C144" s="32"/>
      <c r="D144" s="33" t="str">
        <f>IF(C144="","",IFERROR(INDEX(품목마스터!$B$2:$B$300,MATCH(C144,품목마스터!$A$2:$A$300,0)),"※미등록"))</f>
        <v/>
      </c>
      <c r="E144" s="31"/>
      <c r="F144" s="32"/>
      <c r="G144" s="32"/>
      <c r="H144" s="32"/>
      <c r="I144" s="32"/>
      <c r="J144" s="32"/>
      <c r="K144" s="32"/>
      <c r="L144" s="32"/>
      <c r="M144" s="32"/>
      <c r="N144" s="32"/>
    </row>
    <row r="145" spans="1:14" ht="15" customHeight="1">
      <c r="A145" s="30"/>
      <c r="B145" s="32"/>
      <c r="C145" s="32"/>
      <c r="D145" s="33" t="str">
        <f>IF(C145="","",IFERROR(INDEX(품목마스터!$B$2:$B$300,MATCH(C145,품목마스터!$A$2:$A$300,0)),"※미등록"))</f>
        <v/>
      </c>
      <c r="E145" s="31"/>
      <c r="F145" s="32"/>
      <c r="G145" s="32"/>
      <c r="H145" s="32"/>
      <c r="I145" s="32"/>
      <c r="J145" s="32"/>
      <c r="K145" s="32"/>
      <c r="L145" s="32"/>
      <c r="M145" s="32"/>
      <c r="N145" s="32"/>
    </row>
    <row r="146" spans="1:14" ht="15" customHeight="1">
      <c r="A146" s="30"/>
      <c r="B146" s="32"/>
      <c r="C146" s="32"/>
      <c r="D146" s="33" t="str">
        <f>IF(C146="","",IFERROR(INDEX(품목마스터!$B$2:$B$300,MATCH(C146,품목마스터!$A$2:$A$300,0)),"※미등록"))</f>
        <v/>
      </c>
      <c r="E146" s="31"/>
      <c r="F146" s="32"/>
      <c r="G146" s="32"/>
      <c r="H146" s="32"/>
      <c r="I146" s="32"/>
      <c r="J146" s="32"/>
      <c r="K146" s="32"/>
      <c r="L146" s="32"/>
      <c r="M146" s="32"/>
      <c r="N146" s="32"/>
    </row>
    <row r="147" spans="1:14" ht="15" customHeight="1">
      <c r="A147" s="30"/>
      <c r="B147" s="32"/>
      <c r="C147" s="32"/>
      <c r="D147" s="33" t="str">
        <f>IF(C147="","",IFERROR(INDEX(품목마스터!$B$2:$B$300,MATCH(C147,품목마스터!$A$2:$A$300,0)),"※미등록"))</f>
        <v/>
      </c>
      <c r="E147" s="31"/>
      <c r="F147" s="32"/>
      <c r="G147" s="32"/>
      <c r="H147" s="32"/>
      <c r="I147" s="32"/>
      <c r="J147" s="32"/>
      <c r="K147" s="32"/>
      <c r="L147" s="32"/>
      <c r="M147" s="32"/>
      <c r="N147" s="32"/>
    </row>
    <row r="148" spans="1:14" ht="15" customHeight="1">
      <c r="A148" s="30"/>
      <c r="B148" s="32"/>
      <c r="C148" s="32"/>
      <c r="D148" s="33" t="str">
        <f>IF(C148="","",IFERROR(INDEX(품목마스터!$B$2:$B$300,MATCH(C148,품목마스터!$A$2:$A$300,0)),"※미등록"))</f>
        <v/>
      </c>
      <c r="E148" s="31"/>
      <c r="F148" s="32"/>
      <c r="G148" s="32"/>
      <c r="H148" s="32"/>
      <c r="I148" s="32"/>
      <c r="J148" s="32"/>
      <c r="K148" s="32"/>
      <c r="L148" s="32"/>
      <c r="M148" s="32"/>
      <c r="N148" s="32"/>
    </row>
    <row r="149" spans="1:14" ht="15" customHeight="1">
      <c r="A149" s="30"/>
      <c r="B149" s="32"/>
      <c r="C149" s="32"/>
      <c r="D149" s="33" t="str">
        <f>IF(C149="","",IFERROR(INDEX(품목마스터!$B$2:$B$300,MATCH(C149,품목마스터!$A$2:$A$300,0)),"※미등록"))</f>
        <v/>
      </c>
      <c r="E149" s="31"/>
      <c r="F149" s="32"/>
      <c r="G149" s="32"/>
      <c r="H149" s="32"/>
      <c r="I149" s="32"/>
      <c r="J149" s="32"/>
      <c r="K149" s="32"/>
      <c r="L149" s="32"/>
      <c r="M149" s="32"/>
      <c r="N149" s="32"/>
    </row>
    <row r="150" spans="1:14" ht="15" customHeight="1">
      <c r="A150" s="30"/>
      <c r="B150" s="32"/>
      <c r="C150" s="32"/>
      <c r="D150" s="33" t="str">
        <f>IF(C150="","",IFERROR(INDEX(품목마스터!$B$2:$B$300,MATCH(C150,품목마스터!$A$2:$A$300,0)),"※미등록"))</f>
        <v/>
      </c>
      <c r="E150" s="31"/>
      <c r="F150" s="32"/>
      <c r="G150" s="32"/>
      <c r="H150" s="32"/>
      <c r="I150" s="32"/>
      <c r="J150" s="32"/>
      <c r="K150" s="32"/>
      <c r="L150" s="32"/>
      <c r="M150" s="32"/>
      <c r="N150" s="32"/>
    </row>
    <row r="151" spans="1:14" ht="15" customHeight="1">
      <c r="A151" s="30"/>
      <c r="B151" s="32"/>
      <c r="C151" s="32"/>
      <c r="D151" s="33" t="str">
        <f>IF(C151="","",IFERROR(INDEX(품목마스터!$B$2:$B$300,MATCH(C151,품목마스터!$A$2:$A$300,0)),"※미등록"))</f>
        <v/>
      </c>
      <c r="E151" s="31"/>
      <c r="F151" s="32"/>
      <c r="G151" s="32"/>
      <c r="H151" s="32"/>
      <c r="I151" s="32"/>
      <c r="J151" s="32"/>
      <c r="K151" s="32"/>
      <c r="L151" s="32"/>
      <c r="M151" s="32"/>
      <c r="N151" s="32"/>
    </row>
    <row r="152" spans="1:14" ht="15" customHeight="1">
      <c r="A152" s="30"/>
      <c r="B152" s="32"/>
      <c r="C152" s="32"/>
      <c r="D152" s="33" t="str">
        <f>IF(C152="","",IFERROR(INDEX(품목마스터!$B$2:$B$300,MATCH(C152,품목마스터!$A$2:$A$300,0)),"※미등록"))</f>
        <v/>
      </c>
      <c r="E152" s="31"/>
      <c r="F152" s="32"/>
      <c r="G152" s="32"/>
      <c r="H152" s="32"/>
      <c r="I152" s="32"/>
      <c r="J152" s="32"/>
      <c r="K152" s="32"/>
      <c r="L152" s="32"/>
      <c r="M152" s="32"/>
      <c r="N152" s="32"/>
    </row>
    <row r="153" spans="1:14" ht="15" customHeight="1">
      <c r="A153" s="30"/>
      <c r="B153" s="32"/>
      <c r="C153" s="32"/>
      <c r="D153" s="33" t="str">
        <f>IF(C153="","",IFERROR(INDEX(품목마스터!$B$2:$B$300,MATCH(C153,품목마스터!$A$2:$A$300,0)),"※미등록"))</f>
        <v/>
      </c>
      <c r="E153" s="31"/>
      <c r="F153" s="32"/>
      <c r="G153" s="32"/>
      <c r="H153" s="32"/>
      <c r="I153" s="32"/>
      <c r="J153" s="32"/>
      <c r="K153" s="32"/>
      <c r="L153" s="32"/>
      <c r="M153" s="32"/>
      <c r="N153" s="32"/>
    </row>
    <row r="154" spans="1:14" ht="15" customHeight="1">
      <c r="A154" s="30"/>
      <c r="B154" s="32"/>
      <c r="C154" s="32"/>
      <c r="D154" s="33" t="str">
        <f>IF(C154="","",IFERROR(INDEX(품목마스터!$B$2:$B$300,MATCH(C154,품목마스터!$A$2:$A$300,0)),"※미등록"))</f>
        <v/>
      </c>
      <c r="E154" s="31"/>
      <c r="F154" s="32"/>
      <c r="G154" s="32"/>
      <c r="H154" s="32"/>
      <c r="I154" s="32"/>
      <c r="J154" s="32"/>
      <c r="K154" s="32"/>
      <c r="L154" s="32"/>
      <c r="M154" s="32"/>
      <c r="N154" s="32"/>
    </row>
    <row r="155" spans="1:14" ht="15" customHeight="1">
      <c r="A155" s="30"/>
      <c r="B155" s="32"/>
      <c r="C155" s="32"/>
      <c r="D155" s="33" t="str">
        <f>IF(C155="","",IFERROR(INDEX(품목마스터!$B$2:$B$300,MATCH(C155,품목마스터!$A$2:$A$300,0)),"※미등록"))</f>
        <v/>
      </c>
      <c r="E155" s="31"/>
      <c r="F155" s="32"/>
      <c r="G155" s="32"/>
      <c r="H155" s="32"/>
      <c r="I155" s="32"/>
      <c r="J155" s="32"/>
      <c r="K155" s="32"/>
      <c r="L155" s="32"/>
      <c r="M155" s="32"/>
      <c r="N155" s="32"/>
    </row>
    <row r="156" spans="1:14" ht="15" customHeight="1">
      <c r="A156" s="30"/>
      <c r="B156" s="32"/>
      <c r="C156" s="32"/>
      <c r="D156" s="33" t="str">
        <f>IF(C156="","",IFERROR(INDEX(품목마스터!$B$2:$B$300,MATCH(C156,품목마스터!$A$2:$A$300,0)),"※미등록"))</f>
        <v/>
      </c>
      <c r="E156" s="31"/>
      <c r="F156" s="32"/>
      <c r="G156" s="32"/>
      <c r="H156" s="32"/>
      <c r="I156" s="32"/>
      <c r="J156" s="32"/>
      <c r="K156" s="32"/>
      <c r="L156" s="32"/>
      <c r="M156" s="32"/>
      <c r="N156" s="32"/>
    </row>
    <row r="157" spans="1:14" ht="15" customHeight="1">
      <c r="A157" s="30"/>
      <c r="B157" s="32"/>
      <c r="C157" s="32"/>
      <c r="D157" s="33" t="str">
        <f>IF(C157="","",IFERROR(INDEX(품목마스터!$B$2:$B$300,MATCH(C157,품목마스터!$A$2:$A$300,0)),"※미등록"))</f>
        <v/>
      </c>
      <c r="E157" s="31"/>
      <c r="F157" s="32"/>
      <c r="G157" s="32"/>
      <c r="H157" s="32"/>
      <c r="I157" s="32"/>
      <c r="J157" s="32"/>
      <c r="K157" s="32"/>
      <c r="L157" s="32"/>
      <c r="M157" s="32"/>
      <c r="N157" s="32"/>
    </row>
    <row r="158" spans="1:14" ht="15" customHeight="1">
      <c r="A158" s="30"/>
      <c r="B158" s="32"/>
      <c r="C158" s="32"/>
      <c r="D158" s="33" t="str">
        <f>IF(C158="","",IFERROR(INDEX(품목마스터!$B$2:$B$300,MATCH(C158,품목마스터!$A$2:$A$300,0)),"※미등록"))</f>
        <v/>
      </c>
      <c r="E158" s="31"/>
      <c r="F158" s="32"/>
      <c r="G158" s="32"/>
      <c r="H158" s="32"/>
      <c r="I158" s="32"/>
      <c r="J158" s="32"/>
      <c r="K158" s="32"/>
      <c r="L158" s="32"/>
      <c r="M158" s="32"/>
      <c r="N158" s="32"/>
    </row>
    <row r="159" spans="1:14" ht="15" customHeight="1">
      <c r="A159" s="30"/>
      <c r="B159" s="32"/>
      <c r="C159" s="32"/>
      <c r="D159" s="33" t="str">
        <f>IF(C159="","",IFERROR(INDEX(품목마스터!$B$2:$B$300,MATCH(C159,품목마스터!$A$2:$A$300,0)),"※미등록"))</f>
        <v/>
      </c>
      <c r="E159" s="31"/>
      <c r="F159" s="32"/>
      <c r="G159" s="32"/>
      <c r="H159" s="32"/>
      <c r="I159" s="32"/>
      <c r="J159" s="32"/>
      <c r="K159" s="32"/>
      <c r="L159" s="32"/>
      <c r="M159" s="32"/>
      <c r="N159" s="32"/>
    </row>
    <row r="160" spans="1:14" ht="15" customHeight="1">
      <c r="A160" s="30"/>
      <c r="B160" s="32"/>
      <c r="C160" s="32"/>
      <c r="D160" s="33" t="str">
        <f>IF(C160="","",IFERROR(INDEX(품목마스터!$B$2:$B$300,MATCH(C160,품목마스터!$A$2:$A$300,0)),"※미등록"))</f>
        <v/>
      </c>
      <c r="E160" s="31"/>
      <c r="F160" s="32"/>
      <c r="G160" s="32"/>
      <c r="H160" s="32"/>
      <c r="I160" s="32"/>
      <c r="J160" s="32"/>
      <c r="K160" s="32"/>
      <c r="L160" s="32"/>
      <c r="M160" s="32"/>
      <c r="N160" s="32"/>
    </row>
    <row r="161" spans="1:14" ht="15" customHeight="1">
      <c r="A161" s="30"/>
      <c r="B161" s="32"/>
      <c r="C161" s="32"/>
      <c r="D161" s="33" t="str">
        <f>IF(C161="","",IFERROR(INDEX(품목마스터!$B$2:$B$300,MATCH(C161,품목마스터!$A$2:$A$300,0)),"※미등록"))</f>
        <v/>
      </c>
      <c r="E161" s="31"/>
      <c r="F161" s="32"/>
      <c r="G161" s="32"/>
      <c r="H161" s="32"/>
      <c r="I161" s="32"/>
      <c r="J161" s="32"/>
      <c r="K161" s="32"/>
      <c r="L161" s="32"/>
      <c r="M161" s="32"/>
      <c r="N161" s="32"/>
    </row>
    <row r="162" spans="1:14" ht="15" customHeight="1">
      <c r="A162" s="30"/>
      <c r="B162" s="32"/>
      <c r="C162" s="32"/>
      <c r="D162" s="33" t="str">
        <f>IF(C162="","",IFERROR(INDEX(품목마스터!$B$2:$B$300,MATCH(C162,품목마스터!$A$2:$A$300,0)),"※미등록"))</f>
        <v/>
      </c>
      <c r="E162" s="31"/>
      <c r="F162" s="32"/>
      <c r="G162" s="32"/>
      <c r="H162" s="32"/>
      <c r="I162" s="32"/>
      <c r="J162" s="32"/>
      <c r="K162" s="32"/>
      <c r="L162" s="32"/>
      <c r="M162" s="32"/>
      <c r="N162" s="32"/>
    </row>
    <row r="163" spans="1:14" ht="15" customHeight="1">
      <c r="A163" s="30"/>
      <c r="B163" s="32"/>
      <c r="C163" s="32"/>
      <c r="D163" s="33" t="str">
        <f>IF(C163="","",IFERROR(INDEX(품목마스터!$B$2:$B$300,MATCH(C163,품목마스터!$A$2:$A$300,0)),"※미등록"))</f>
        <v/>
      </c>
      <c r="E163" s="31"/>
      <c r="F163" s="32"/>
      <c r="G163" s="32"/>
      <c r="H163" s="32"/>
      <c r="I163" s="32"/>
      <c r="J163" s="32"/>
      <c r="K163" s="32"/>
      <c r="L163" s="32"/>
      <c r="M163" s="32"/>
      <c r="N163" s="32"/>
    </row>
    <row r="164" spans="1:14" ht="15" customHeight="1">
      <c r="A164" s="30"/>
      <c r="B164" s="32"/>
      <c r="C164" s="32"/>
      <c r="D164" s="33" t="str">
        <f>IF(C164="","",IFERROR(INDEX(품목마스터!$B$2:$B$300,MATCH(C164,품목마스터!$A$2:$A$300,0)),"※미등록"))</f>
        <v/>
      </c>
      <c r="E164" s="31"/>
      <c r="F164" s="32"/>
      <c r="G164" s="32"/>
      <c r="H164" s="32"/>
      <c r="I164" s="32"/>
      <c r="J164" s="32"/>
      <c r="K164" s="32"/>
      <c r="L164" s="32"/>
      <c r="M164" s="32"/>
      <c r="N164" s="32"/>
    </row>
    <row r="165" spans="1:14" ht="15" customHeight="1">
      <c r="A165" s="30"/>
      <c r="B165" s="32"/>
      <c r="C165" s="32"/>
      <c r="D165" s="33" t="str">
        <f>IF(C165="","",IFERROR(INDEX(품목마스터!$B$2:$B$300,MATCH(C165,품목마스터!$A$2:$A$300,0)),"※미등록"))</f>
        <v/>
      </c>
      <c r="E165" s="31"/>
      <c r="F165" s="32"/>
      <c r="G165" s="32"/>
      <c r="H165" s="32"/>
      <c r="I165" s="32"/>
      <c r="J165" s="32"/>
      <c r="K165" s="32"/>
      <c r="L165" s="32"/>
      <c r="M165" s="32"/>
      <c r="N165" s="32"/>
    </row>
    <row r="166" spans="1:14" ht="15" customHeight="1">
      <c r="A166" s="30"/>
      <c r="B166" s="32"/>
      <c r="C166" s="32"/>
      <c r="D166" s="33" t="str">
        <f>IF(C166="","",IFERROR(INDEX(품목마스터!$B$2:$B$300,MATCH(C166,품목마스터!$A$2:$A$300,0)),"※미등록"))</f>
        <v/>
      </c>
      <c r="E166" s="31"/>
      <c r="F166" s="32"/>
      <c r="G166" s="32"/>
      <c r="H166" s="32"/>
      <c r="I166" s="32"/>
      <c r="J166" s="32"/>
      <c r="K166" s="32"/>
      <c r="L166" s="32"/>
      <c r="M166" s="32"/>
      <c r="N166" s="32"/>
    </row>
    <row r="167" spans="1:14" ht="15" customHeight="1">
      <c r="A167" s="30"/>
      <c r="B167" s="32"/>
      <c r="C167" s="32"/>
      <c r="D167" s="33" t="str">
        <f>IF(C167="","",IFERROR(INDEX(품목마스터!$B$2:$B$300,MATCH(C167,품목마스터!$A$2:$A$300,0)),"※미등록"))</f>
        <v/>
      </c>
      <c r="E167" s="31"/>
      <c r="F167" s="32"/>
      <c r="G167" s="32"/>
      <c r="H167" s="32"/>
      <c r="I167" s="32"/>
      <c r="J167" s="32"/>
      <c r="K167" s="32"/>
      <c r="L167" s="32"/>
      <c r="M167" s="32"/>
      <c r="N167" s="32"/>
    </row>
    <row r="168" spans="1:14" ht="15" customHeight="1">
      <c r="A168" s="30"/>
      <c r="B168" s="32"/>
      <c r="C168" s="32"/>
      <c r="D168" s="33" t="str">
        <f>IF(C168="","",IFERROR(INDEX(품목마스터!$B$2:$B$300,MATCH(C168,품목마스터!$A$2:$A$300,0)),"※미등록"))</f>
        <v/>
      </c>
      <c r="E168" s="31"/>
      <c r="F168" s="32"/>
      <c r="G168" s="32"/>
      <c r="H168" s="32"/>
      <c r="I168" s="32"/>
      <c r="J168" s="32"/>
      <c r="K168" s="32"/>
      <c r="L168" s="32"/>
      <c r="M168" s="32"/>
      <c r="N168" s="32"/>
    </row>
    <row r="169" spans="1:14" ht="15" customHeight="1">
      <c r="A169" s="30"/>
      <c r="B169" s="32"/>
      <c r="C169" s="32"/>
      <c r="D169" s="33" t="str">
        <f>IF(C169="","",IFERROR(INDEX(품목마스터!$B$2:$B$300,MATCH(C169,품목마스터!$A$2:$A$300,0)),"※미등록"))</f>
        <v/>
      </c>
      <c r="E169" s="31"/>
      <c r="F169" s="32"/>
      <c r="G169" s="32"/>
      <c r="H169" s="32"/>
      <c r="I169" s="32"/>
      <c r="J169" s="32"/>
      <c r="K169" s="32"/>
      <c r="L169" s="32"/>
      <c r="M169" s="32"/>
      <c r="N169" s="32"/>
    </row>
    <row r="170" spans="1:14" ht="15" customHeight="1">
      <c r="A170" s="30"/>
      <c r="B170" s="32"/>
      <c r="C170" s="32"/>
      <c r="D170" s="33" t="str">
        <f>IF(C170="","",IFERROR(INDEX(품목마스터!$B$2:$B$300,MATCH(C170,품목마스터!$A$2:$A$300,0)),"※미등록"))</f>
        <v/>
      </c>
      <c r="E170" s="31"/>
      <c r="F170" s="32"/>
      <c r="G170" s="32"/>
      <c r="H170" s="32"/>
      <c r="I170" s="32"/>
      <c r="J170" s="32"/>
      <c r="K170" s="32"/>
      <c r="L170" s="32"/>
      <c r="M170" s="32"/>
      <c r="N170" s="32"/>
    </row>
    <row r="171" spans="1:14" ht="15" customHeight="1">
      <c r="A171" s="30"/>
      <c r="B171" s="32"/>
      <c r="C171" s="32"/>
      <c r="D171" s="33" t="str">
        <f>IF(C171="","",IFERROR(INDEX(품목마스터!$B$2:$B$300,MATCH(C171,품목마스터!$A$2:$A$300,0)),"※미등록"))</f>
        <v/>
      </c>
      <c r="E171" s="31"/>
      <c r="F171" s="32"/>
      <c r="G171" s="32"/>
      <c r="H171" s="32"/>
      <c r="I171" s="32"/>
      <c r="J171" s="32"/>
      <c r="K171" s="32"/>
      <c r="L171" s="32"/>
      <c r="M171" s="32"/>
      <c r="N171" s="32"/>
    </row>
    <row r="172" spans="1:14" ht="15" customHeight="1">
      <c r="A172" s="30"/>
      <c r="B172" s="32"/>
      <c r="C172" s="32"/>
      <c r="D172" s="33" t="str">
        <f>IF(C172="","",IFERROR(INDEX(품목마스터!$B$2:$B$300,MATCH(C172,품목마스터!$A$2:$A$300,0)),"※미등록"))</f>
        <v/>
      </c>
      <c r="E172" s="31"/>
      <c r="F172" s="32"/>
      <c r="G172" s="32"/>
      <c r="H172" s="32"/>
      <c r="I172" s="32"/>
      <c r="J172" s="32"/>
      <c r="K172" s="32"/>
      <c r="L172" s="32"/>
      <c r="M172" s="32"/>
      <c r="N172" s="32"/>
    </row>
    <row r="173" spans="1:14" ht="15" customHeight="1">
      <c r="A173" s="30"/>
      <c r="B173" s="32"/>
      <c r="C173" s="32"/>
      <c r="D173" s="33" t="str">
        <f>IF(C173="","",IFERROR(INDEX(품목마스터!$B$2:$B$300,MATCH(C173,품목마스터!$A$2:$A$300,0)),"※미등록"))</f>
        <v/>
      </c>
      <c r="E173" s="31"/>
      <c r="F173" s="32"/>
      <c r="G173" s="32"/>
      <c r="H173" s="32"/>
      <c r="I173" s="32"/>
      <c r="J173" s="32"/>
      <c r="K173" s="32"/>
      <c r="L173" s="32"/>
      <c r="M173" s="32"/>
      <c r="N173" s="32"/>
    </row>
    <row r="174" spans="1:14" ht="15" customHeight="1">
      <c r="A174" s="30"/>
      <c r="B174" s="32"/>
      <c r="C174" s="32"/>
      <c r="D174" s="33" t="str">
        <f>IF(C174="","",IFERROR(INDEX(품목마스터!$B$2:$B$300,MATCH(C174,품목마스터!$A$2:$A$300,0)),"※미등록"))</f>
        <v/>
      </c>
      <c r="E174" s="31"/>
      <c r="F174" s="32"/>
      <c r="G174" s="32"/>
      <c r="H174" s="32"/>
      <c r="I174" s="32"/>
      <c r="J174" s="32"/>
      <c r="K174" s="32"/>
      <c r="L174" s="32"/>
      <c r="M174" s="32"/>
      <c r="N174" s="32"/>
    </row>
    <row r="175" spans="1:14" ht="15" customHeight="1">
      <c r="A175" s="30"/>
      <c r="B175" s="32"/>
      <c r="C175" s="32"/>
      <c r="D175" s="33" t="str">
        <f>IF(C175="","",IFERROR(INDEX(품목마스터!$B$2:$B$300,MATCH(C175,품목마스터!$A$2:$A$300,0)),"※미등록"))</f>
        <v/>
      </c>
      <c r="E175" s="31"/>
      <c r="F175" s="32"/>
      <c r="G175" s="32"/>
      <c r="H175" s="32"/>
      <c r="I175" s="32"/>
      <c r="J175" s="32"/>
      <c r="K175" s="32"/>
      <c r="L175" s="32"/>
      <c r="M175" s="32"/>
      <c r="N175" s="32"/>
    </row>
    <row r="176" spans="1:14" ht="15" customHeight="1">
      <c r="A176" s="30"/>
      <c r="B176" s="32"/>
      <c r="C176" s="32"/>
      <c r="D176" s="33" t="str">
        <f>IF(C176="","",IFERROR(INDEX(품목마스터!$B$2:$B$300,MATCH(C176,품목마스터!$A$2:$A$300,0)),"※미등록"))</f>
        <v/>
      </c>
      <c r="E176" s="31"/>
      <c r="F176" s="32"/>
      <c r="G176" s="32"/>
      <c r="H176" s="32"/>
      <c r="I176" s="32"/>
      <c r="J176" s="32"/>
      <c r="K176" s="32"/>
      <c r="L176" s="32"/>
      <c r="M176" s="32"/>
      <c r="N176" s="32"/>
    </row>
    <row r="177" spans="1:14" ht="15" customHeight="1">
      <c r="A177" s="30"/>
      <c r="B177" s="32"/>
      <c r="C177" s="32"/>
      <c r="D177" s="33" t="str">
        <f>IF(C177="","",IFERROR(INDEX(품목마스터!$B$2:$B$300,MATCH(C177,품목마스터!$A$2:$A$300,0)),"※미등록"))</f>
        <v/>
      </c>
      <c r="E177" s="31"/>
      <c r="F177" s="32"/>
      <c r="G177" s="32"/>
      <c r="H177" s="32"/>
      <c r="I177" s="32"/>
      <c r="J177" s="32"/>
      <c r="K177" s="32"/>
      <c r="L177" s="32"/>
      <c r="M177" s="32"/>
      <c r="N177" s="32"/>
    </row>
    <row r="178" spans="1:14" ht="15" customHeight="1">
      <c r="A178" s="30"/>
      <c r="B178" s="32"/>
      <c r="C178" s="32"/>
      <c r="D178" s="33" t="str">
        <f>IF(C178="","",IFERROR(INDEX(품목마스터!$B$2:$B$300,MATCH(C178,품목마스터!$A$2:$A$300,0)),"※미등록"))</f>
        <v/>
      </c>
      <c r="E178" s="31"/>
      <c r="F178" s="32"/>
      <c r="G178" s="32"/>
      <c r="H178" s="32"/>
      <c r="I178" s="32"/>
      <c r="J178" s="32"/>
      <c r="K178" s="32"/>
      <c r="L178" s="32"/>
      <c r="M178" s="32"/>
      <c r="N178" s="32"/>
    </row>
    <row r="179" spans="1:14" ht="15" customHeight="1">
      <c r="A179" s="30"/>
      <c r="B179" s="32"/>
      <c r="C179" s="32"/>
      <c r="D179" s="33" t="str">
        <f>IF(C179="","",IFERROR(INDEX(품목마스터!$B$2:$B$300,MATCH(C179,품목마스터!$A$2:$A$300,0)),"※미등록"))</f>
        <v/>
      </c>
      <c r="E179" s="31"/>
      <c r="F179" s="32"/>
      <c r="G179" s="32"/>
      <c r="H179" s="32"/>
      <c r="I179" s="32"/>
      <c r="J179" s="32"/>
      <c r="K179" s="32"/>
      <c r="L179" s="32"/>
      <c r="M179" s="32"/>
      <c r="N179" s="32"/>
    </row>
    <row r="180" spans="1:14" ht="15" customHeight="1">
      <c r="A180" s="30"/>
      <c r="B180" s="32"/>
      <c r="C180" s="32"/>
      <c r="D180" s="33" t="str">
        <f>IF(C180="","",IFERROR(INDEX(품목마스터!$B$2:$B$300,MATCH(C180,품목마스터!$A$2:$A$300,0)),"※미등록"))</f>
        <v/>
      </c>
      <c r="E180" s="31"/>
      <c r="F180" s="32"/>
      <c r="G180" s="32"/>
      <c r="H180" s="32"/>
      <c r="I180" s="32"/>
      <c r="J180" s="32"/>
      <c r="K180" s="32"/>
      <c r="L180" s="32"/>
      <c r="M180" s="32"/>
      <c r="N180" s="32"/>
    </row>
    <row r="181" spans="1:14" ht="15" customHeight="1">
      <c r="A181" s="30"/>
      <c r="B181" s="32"/>
      <c r="C181" s="32"/>
      <c r="D181" s="33" t="str">
        <f>IF(C181="","",IFERROR(INDEX(품목마스터!$B$2:$B$300,MATCH(C181,품목마스터!$A$2:$A$300,0)),"※미등록"))</f>
        <v/>
      </c>
      <c r="E181" s="31"/>
      <c r="F181" s="32"/>
      <c r="G181" s="32"/>
      <c r="H181" s="32"/>
      <c r="I181" s="32"/>
      <c r="J181" s="32"/>
      <c r="K181" s="32"/>
      <c r="L181" s="32"/>
      <c r="M181" s="32"/>
      <c r="N181" s="32"/>
    </row>
    <row r="182" spans="1:14" ht="15" customHeight="1">
      <c r="A182" s="30"/>
      <c r="B182" s="32"/>
      <c r="C182" s="32"/>
      <c r="D182" s="33" t="str">
        <f>IF(C182="","",IFERROR(INDEX(품목마스터!$B$2:$B$300,MATCH(C182,품목마스터!$A$2:$A$300,0)),"※미등록"))</f>
        <v/>
      </c>
      <c r="E182" s="31"/>
      <c r="F182" s="32"/>
      <c r="G182" s="32"/>
      <c r="H182" s="32"/>
      <c r="I182" s="32"/>
      <c r="J182" s="32"/>
      <c r="K182" s="32"/>
      <c r="L182" s="32"/>
      <c r="M182" s="32"/>
      <c r="N182" s="32"/>
    </row>
    <row r="183" spans="1:14" ht="15" customHeight="1">
      <c r="A183" s="30"/>
      <c r="B183" s="32"/>
      <c r="C183" s="32"/>
      <c r="D183" s="33" t="str">
        <f>IF(C183="","",IFERROR(INDEX(품목마스터!$B$2:$B$300,MATCH(C183,품목마스터!$A$2:$A$300,0)),"※미등록"))</f>
        <v/>
      </c>
      <c r="E183" s="31"/>
      <c r="F183" s="32"/>
      <c r="G183" s="32"/>
      <c r="H183" s="32"/>
      <c r="I183" s="32"/>
      <c r="J183" s="32"/>
      <c r="K183" s="32"/>
      <c r="L183" s="32"/>
      <c r="M183" s="32"/>
      <c r="N183" s="32"/>
    </row>
    <row r="184" spans="1:14" ht="15" customHeight="1">
      <c r="A184" s="30"/>
      <c r="B184" s="32"/>
      <c r="C184" s="32"/>
      <c r="D184" s="33" t="str">
        <f>IF(C184="","",IFERROR(INDEX(품목마스터!$B$2:$B$300,MATCH(C184,품목마스터!$A$2:$A$300,0)),"※미등록"))</f>
        <v/>
      </c>
      <c r="E184" s="31"/>
      <c r="F184" s="32"/>
      <c r="G184" s="32"/>
      <c r="H184" s="32"/>
      <c r="I184" s="32"/>
      <c r="J184" s="32"/>
      <c r="K184" s="32"/>
      <c r="L184" s="32"/>
      <c r="M184" s="32"/>
      <c r="N184" s="32"/>
    </row>
    <row r="185" spans="1:14" ht="15" customHeight="1">
      <c r="A185" s="30"/>
      <c r="B185" s="32"/>
      <c r="C185" s="32"/>
      <c r="D185" s="33" t="str">
        <f>IF(C185="","",IFERROR(INDEX(품목마스터!$B$2:$B$300,MATCH(C185,품목마스터!$A$2:$A$300,0)),"※미등록"))</f>
        <v/>
      </c>
      <c r="E185" s="31"/>
      <c r="F185" s="32"/>
      <c r="G185" s="32"/>
      <c r="H185" s="32"/>
      <c r="I185" s="32"/>
      <c r="J185" s="32"/>
      <c r="K185" s="32"/>
      <c r="L185" s="32"/>
      <c r="M185" s="32"/>
      <c r="N185" s="32"/>
    </row>
    <row r="186" spans="1:14" ht="15" customHeight="1">
      <c r="A186" s="30"/>
      <c r="B186" s="32"/>
      <c r="C186" s="32"/>
      <c r="D186" s="33" t="str">
        <f>IF(C186="","",IFERROR(INDEX(품목마스터!$B$2:$B$300,MATCH(C186,품목마스터!$A$2:$A$300,0)),"※미등록"))</f>
        <v/>
      </c>
      <c r="E186" s="31"/>
      <c r="F186" s="32"/>
      <c r="G186" s="32"/>
      <c r="H186" s="32"/>
      <c r="I186" s="32"/>
      <c r="J186" s="32"/>
      <c r="K186" s="32"/>
      <c r="L186" s="32"/>
      <c r="M186" s="32"/>
      <c r="N186" s="32"/>
    </row>
    <row r="187" spans="1:14" ht="15" customHeight="1">
      <c r="A187" s="30"/>
      <c r="B187" s="32"/>
      <c r="C187" s="32"/>
      <c r="D187" s="33" t="str">
        <f>IF(C187="","",IFERROR(INDEX(품목마스터!$B$2:$B$300,MATCH(C187,품목마스터!$A$2:$A$300,0)),"※미등록"))</f>
        <v/>
      </c>
      <c r="E187" s="31"/>
      <c r="F187" s="32"/>
      <c r="G187" s="32"/>
      <c r="H187" s="32"/>
      <c r="I187" s="32"/>
      <c r="J187" s="32"/>
      <c r="K187" s="32"/>
      <c r="L187" s="32"/>
      <c r="M187" s="32"/>
      <c r="N187" s="32"/>
    </row>
    <row r="188" spans="1:14" ht="15" customHeight="1">
      <c r="A188" s="30"/>
      <c r="B188" s="32"/>
      <c r="C188" s="32"/>
      <c r="D188" s="33" t="str">
        <f>IF(C188="","",IFERROR(INDEX(품목마스터!$B$2:$B$300,MATCH(C188,품목마스터!$A$2:$A$300,0)),"※미등록"))</f>
        <v/>
      </c>
      <c r="E188" s="31"/>
      <c r="F188" s="32"/>
      <c r="G188" s="32"/>
      <c r="H188" s="32"/>
      <c r="I188" s="32"/>
      <c r="J188" s="32"/>
      <c r="K188" s="32"/>
      <c r="L188" s="32"/>
      <c r="M188" s="32"/>
      <c r="N188" s="32"/>
    </row>
    <row r="189" spans="1:14" ht="15" customHeight="1">
      <c r="A189" s="30"/>
      <c r="B189" s="32"/>
      <c r="C189" s="32"/>
      <c r="D189" s="33" t="str">
        <f>IF(C189="","",IFERROR(INDEX(품목마스터!$B$2:$B$300,MATCH(C189,품목마스터!$A$2:$A$300,0)),"※미등록"))</f>
        <v/>
      </c>
      <c r="E189" s="31"/>
      <c r="F189" s="32"/>
      <c r="G189" s="32"/>
      <c r="H189" s="32"/>
      <c r="I189" s="32"/>
      <c r="J189" s="32"/>
      <c r="K189" s="32"/>
      <c r="L189" s="32"/>
      <c r="M189" s="32"/>
      <c r="N189" s="32"/>
    </row>
    <row r="190" spans="1:14" ht="15" customHeight="1">
      <c r="A190" s="30"/>
      <c r="B190" s="32"/>
      <c r="C190" s="32"/>
      <c r="D190" s="33" t="str">
        <f>IF(C190="","",IFERROR(INDEX(품목마스터!$B$2:$B$300,MATCH(C190,품목마스터!$A$2:$A$300,0)),"※미등록"))</f>
        <v/>
      </c>
      <c r="E190" s="31"/>
      <c r="F190" s="32"/>
      <c r="G190" s="32"/>
      <c r="H190" s="32"/>
      <c r="I190" s="32"/>
      <c r="J190" s="32"/>
      <c r="K190" s="32"/>
      <c r="L190" s="32"/>
      <c r="M190" s="32"/>
      <c r="N190" s="32"/>
    </row>
    <row r="191" spans="1:14" ht="15" customHeight="1">
      <c r="A191" s="30"/>
      <c r="B191" s="32"/>
      <c r="C191" s="32"/>
      <c r="D191" s="33" t="str">
        <f>IF(C191="","",IFERROR(INDEX(품목마스터!$B$2:$B$300,MATCH(C191,품목마스터!$A$2:$A$300,0)),"※미등록"))</f>
        <v/>
      </c>
      <c r="E191" s="31"/>
      <c r="F191" s="32"/>
      <c r="G191" s="32"/>
      <c r="H191" s="32"/>
      <c r="I191" s="32"/>
      <c r="J191" s="32"/>
      <c r="K191" s="32"/>
      <c r="L191" s="32"/>
      <c r="M191" s="32"/>
      <c r="N191" s="32"/>
    </row>
    <row r="192" spans="1:14" ht="15" customHeight="1">
      <c r="A192" s="30"/>
      <c r="B192" s="32"/>
      <c r="C192" s="32"/>
      <c r="D192" s="33" t="str">
        <f>IF(C192="","",IFERROR(INDEX(품목마스터!$B$2:$B$300,MATCH(C192,품목마스터!$A$2:$A$300,0)),"※미등록"))</f>
        <v/>
      </c>
      <c r="E192" s="31"/>
      <c r="F192" s="32"/>
      <c r="G192" s="32"/>
      <c r="H192" s="32"/>
      <c r="I192" s="32"/>
      <c r="J192" s="32"/>
      <c r="K192" s="32"/>
      <c r="L192" s="32"/>
      <c r="M192" s="32"/>
      <c r="N192" s="32"/>
    </row>
    <row r="193" spans="1:14" ht="15" customHeight="1">
      <c r="A193" s="30"/>
      <c r="B193" s="32"/>
      <c r="C193" s="32"/>
      <c r="D193" s="33" t="str">
        <f>IF(C193="","",IFERROR(INDEX(품목마스터!$B$2:$B$300,MATCH(C193,품목마스터!$A$2:$A$300,0)),"※미등록"))</f>
        <v/>
      </c>
      <c r="E193" s="31"/>
      <c r="F193" s="32"/>
      <c r="G193" s="32"/>
      <c r="H193" s="32"/>
      <c r="I193" s="32"/>
      <c r="J193" s="32"/>
      <c r="K193" s="32"/>
      <c r="L193" s="32"/>
      <c r="M193" s="32"/>
      <c r="N193" s="32"/>
    </row>
    <row r="194" spans="1:14" ht="15" customHeight="1">
      <c r="A194" s="30"/>
      <c r="B194" s="32"/>
      <c r="C194" s="32"/>
      <c r="D194" s="33" t="str">
        <f>IF(C194="","",IFERROR(INDEX(품목마스터!$B$2:$B$300,MATCH(C194,품목마스터!$A$2:$A$300,0)),"※미등록"))</f>
        <v/>
      </c>
      <c r="E194" s="31"/>
      <c r="F194" s="32"/>
      <c r="G194" s="32"/>
      <c r="H194" s="32"/>
      <c r="I194" s="32"/>
      <c r="J194" s="32"/>
      <c r="K194" s="32"/>
      <c r="L194" s="32"/>
      <c r="M194" s="32"/>
      <c r="N194" s="32"/>
    </row>
    <row r="195" spans="1:14" ht="15" customHeight="1">
      <c r="A195" s="30"/>
      <c r="B195" s="32"/>
      <c r="C195" s="32"/>
      <c r="D195" s="33" t="str">
        <f>IF(C195="","",IFERROR(INDEX(품목마스터!$B$2:$B$300,MATCH(C195,품목마스터!$A$2:$A$300,0)),"※미등록"))</f>
        <v/>
      </c>
      <c r="E195" s="31"/>
      <c r="F195" s="32"/>
      <c r="G195" s="32"/>
      <c r="H195" s="32"/>
      <c r="I195" s="32"/>
      <c r="J195" s="32"/>
      <c r="K195" s="32"/>
      <c r="L195" s="32"/>
      <c r="M195" s="32"/>
      <c r="N195" s="32"/>
    </row>
    <row r="196" spans="1:14" ht="15" customHeight="1">
      <c r="A196" s="30"/>
      <c r="B196" s="32"/>
      <c r="C196" s="32"/>
      <c r="D196" s="33" t="str">
        <f>IF(C196="","",IFERROR(INDEX(품목마스터!$B$2:$B$300,MATCH(C196,품목마스터!$A$2:$A$300,0)),"※미등록"))</f>
        <v/>
      </c>
      <c r="E196" s="31"/>
      <c r="F196" s="32"/>
      <c r="G196" s="32"/>
      <c r="H196" s="32"/>
      <c r="I196" s="32"/>
      <c r="J196" s="32"/>
      <c r="K196" s="32"/>
      <c r="L196" s="32"/>
      <c r="M196" s="32"/>
      <c r="N196" s="32"/>
    </row>
    <row r="197" spans="1:14" ht="15" customHeight="1">
      <c r="A197" s="30"/>
      <c r="B197" s="32"/>
      <c r="C197" s="32"/>
      <c r="D197" s="33" t="str">
        <f>IF(C197="","",IFERROR(INDEX(품목마스터!$B$2:$B$300,MATCH(C197,품목마스터!$A$2:$A$300,0)),"※미등록"))</f>
        <v/>
      </c>
      <c r="E197" s="31"/>
      <c r="F197" s="32"/>
      <c r="G197" s="32"/>
      <c r="H197" s="32"/>
      <c r="I197" s="32"/>
      <c r="J197" s="32"/>
      <c r="K197" s="32"/>
      <c r="L197" s="32"/>
      <c r="M197" s="32"/>
      <c r="N197" s="32"/>
    </row>
    <row r="198" spans="1:14" ht="15" customHeight="1">
      <c r="A198" s="30"/>
      <c r="B198" s="32"/>
      <c r="C198" s="32"/>
      <c r="D198" s="33" t="str">
        <f>IF(C198="","",IFERROR(INDEX(품목마스터!$B$2:$B$300,MATCH(C198,품목마스터!$A$2:$A$300,0)),"※미등록"))</f>
        <v/>
      </c>
      <c r="E198" s="31"/>
      <c r="F198" s="32"/>
      <c r="G198" s="32"/>
      <c r="H198" s="32"/>
      <c r="I198" s="32"/>
      <c r="J198" s="32"/>
      <c r="K198" s="32"/>
      <c r="L198" s="32"/>
      <c r="M198" s="32"/>
      <c r="N198" s="32"/>
    </row>
    <row r="199" spans="1:14" ht="15" customHeight="1">
      <c r="A199" s="30"/>
      <c r="B199" s="32"/>
      <c r="C199" s="32"/>
      <c r="D199" s="33" t="str">
        <f>IF(C199="","",IFERROR(INDEX(품목마스터!$B$2:$B$300,MATCH(C199,품목마스터!$A$2:$A$300,0)),"※미등록"))</f>
        <v/>
      </c>
      <c r="E199" s="31"/>
      <c r="F199" s="32"/>
      <c r="G199" s="32"/>
      <c r="H199" s="32"/>
      <c r="I199" s="32"/>
      <c r="J199" s="32"/>
      <c r="K199" s="32"/>
      <c r="L199" s="32"/>
      <c r="M199" s="32"/>
      <c r="N199" s="32"/>
    </row>
    <row r="200" spans="1:14" ht="15" customHeight="1">
      <c r="A200" s="30"/>
      <c r="B200" s="32"/>
      <c r="C200" s="32"/>
      <c r="D200" s="33" t="str">
        <f>IF(C200="","",IFERROR(INDEX(품목마스터!$B$2:$B$300,MATCH(C200,품목마스터!$A$2:$A$300,0)),"※미등록"))</f>
        <v/>
      </c>
      <c r="E200" s="31"/>
      <c r="F200" s="32"/>
      <c r="G200" s="32"/>
      <c r="H200" s="32"/>
      <c r="I200" s="32"/>
      <c r="J200" s="32"/>
      <c r="K200" s="32"/>
      <c r="L200" s="32"/>
      <c r="M200" s="32"/>
      <c r="N200" s="32"/>
    </row>
    <row r="201" spans="1:14" ht="15" customHeight="1">
      <c r="A201" s="30"/>
      <c r="B201" s="32"/>
      <c r="C201" s="32"/>
      <c r="D201" s="33" t="str">
        <f>IF(C201="","",IFERROR(INDEX(품목마스터!$B$2:$B$300,MATCH(C201,품목마스터!$A$2:$A$300,0)),"※미등록"))</f>
        <v/>
      </c>
      <c r="E201" s="31"/>
      <c r="F201" s="32"/>
      <c r="G201" s="32"/>
      <c r="H201" s="32"/>
      <c r="I201" s="32"/>
      <c r="J201" s="32"/>
      <c r="K201" s="32"/>
      <c r="L201" s="32"/>
      <c r="M201" s="32"/>
      <c r="N201" s="32"/>
    </row>
    <row r="202" spans="1:14" ht="15" customHeight="1">
      <c r="A202" s="30"/>
      <c r="B202" s="32"/>
      <c r="C202" s="32"/>
      <c r="D202" s="33" t="str">
        <f>IF(C202="","",IFERROR(INDEX(품목마스터!$B$2:$B$300,MATCH(C202,품목마스터!$A$2:$A$300,0)),"※미등록"))</f>
        <v/>
      </c>
      <c r="E202" s="31"/>
      <c r="F202" s="32"/>
      <c r="G202" s="32"/>
      <c r="H202" s="32"/>
      <c r="I202" s="32"/>
      <c r="J202" s="32"/>
      <c r="K202" s="32"/>
      <c r="L202" s="32"/>
      <c r="M202" s="32"/>
      <c r="N202" s="32"/>
    </row>
    <row r="203" spans="1:14" ht="15" customHeight="1">
      <c r="A203" s="30"/>
      <c r="B203" s="32"/>
      <c r="C203" s="32"/>
      <c r="D203" s="33" t="str">
        <f>IF(C203="","",IFERROR(INDEX(품목마스터!$B$2:$B$300,MATCH(C203,품목마스터!$A$2:$A$300,0)),"※미등록"))</f>
        <v/>
      </c>
      <c r="E203" s="31"/>
      <c r="F203" s="32"/>
      <c r="G203" s="32"/>
      <c r="H203" s="32"/>
      <c r="I203" s="32"/>
      <c r="J203" s="32"/>
      <c r="K203" s="32"/>
      <c r="L203" s="32"/>
      <c r="M203" s="32"/>
      <c r="N203" s="32"/>
    </row>
    <row r="204" spans="1:14" ht="15" customHeight="1">
      <c r="A204" s="30"/>
      <c r="B204" s="32"/>
      <c r="C204" s="32"/>
      <c r="D204" s="33" t="str">
        <f>IF(C204="","",IFERROR(INDEX(품목마스터!$B$2:$B$300,MATCH(C204,품목마스터!$A$2:$A$300,0)),"※미등록"))</f>
        <v/>
      </c>
      <c r="E204" s="31"/>
      <c r="F204" s="32"/>
      <c r="G204" s="32"/>
      <c r="H204" s="32"/>
      <c r="I204" s="32"/>
      <c r="J204" s="32"/>
      <c r="K204" s="32"/>
      <c r="L204" s="32"/>
      <c r="M204" s="32"/>
      <c r="N204" s="32"/>
    </row>
    <row r="205" spans="1:14" ht="15" customHeight="1">
      <c r="A205" s="30"/>
      <c r="B205" s="32"/>
      <c r="C205" s="32"/>
      <c r="D205" s="33" t="str">
        <f>IF(C205="","",IFERROR(INDEX(품목마스터!$B$2:$B$300,MATCH(C205,품목마스터!$A$2:$A$300,0)),"※미등록"))</f>
        <v/>
      </c>
      <c r="E205" s="31"/>
      <c r="F205" s="32"/>
      <c r="G205" s="32"/>
      <c r="H205" s="32"/>
      <c r="I205" s="32"/>
      <c r="J205" s="32"/>
      <c r="K205" s="32"/>
      <c r="L205" s="32"/>
      <c r="M205" s="32"/>
      <c r="N205" s="32"/>
    </row>
    <row r="206" spans="1:14" ht="15" customHeight="1">
      <c r="A206" s="30"/>
      <c r="B206" s="32"/>
      <c r="C206" s="32"/>
      <c r="D206" s="33" t="str">
        <f>IF(C206="","",IFERROR(INDEX(품목마스터!$B$2:$B$300,MATCH(C206,품목마스터!$A$2:$A$300,0)),"※미등록"))</f>
        <v/>
      </c>
      <c r="E206" s="31"/>
      <c r="F206" s="32"/>
      <c r="G206" s="32"/>
      <c r="H206" s="32"/>
      <c r="I206" s="32"/>
      <c r="J206" s="32"/>
      <c r="K206" s="32"/>
      <c r="L206" s="32"/>
      <c r="M206" s="32"/>
      <c r="N206" s="32"/>
    </row>
    <row r="207" spans="1:14" ht="15" customHeight="1">
      <c r="A207" s="30"/>
      <c r="B207" s="32"/>
      <c r="C207" s="32"/>
      <c r="D207" s="33" t="str">
        <f>IF(C207="","",IFERROR(INDEX(품목마스터!$B$2:$B$300,MATCH(C207,품목마스터!$A$2:$A$300,0)),"※미등록"))</f>
        <v/>
      </c>
      <c r="E207" s="31"/>
      <c r="F207" s="32"/>
      <c r="G207" s="32"/>
      <c r="H207" s="32"/>
      <c r="I207" s="32"/>
      <c r="J207" s="32"/>
      <c r="K207" s="32"/>
      <c r="L207" s="32"/>
      <c r="M207" s="32"/>
      <c r="N207" s="32"/>
    </row>
    <row r="208" spans="1:14" ht="15" customHeight="1">
      <c r="A208" s="30"/>
      <c r="B208" s="32"/>
      <c r="C208" s="32"/>
      <c r="D208" s="33" t="str">
        <f>IF(C208="","",IFERROR(INDEX(품목마스터!$B$2:$B$300,MATCH(C208,품목마스터!$A$2:$A$300,0)),"※미등록"))</f>
        <v/>
      </c>
      <c r="E208" s="31"/>
      <c r="F208" s="32"/>
      <c r="G208" s="32"/>
      <c r="H208" s="32"/>
      <c r="I208" s="32"/>
      <c r="J208" s="32"/>
      <c r="K208" s="32"/>
      <c r="L208" s="32"/>
      <c r="M208" s="32"/>
      <c r="N208" s="32"/>
    </row>
    <row r="209" spans="1:14" ht="15" customHeight="1">
      <c r="A209" s="30"/>
      <c r="B209" s="32"/>
      <c r="C209" s="32"/>
      <c r="D209" s="33" t="str">
        <f>IF(C209="","",IFERROR(INDEX(품목마스터!$B$2:$B$300,MATCH(C209,품목마스터!$A$2:$A$300,0)),"※미등록"))</f>
        <v/>
      </c>
      <c r="E209" s="31"/>
      <c r="F209" s="32"/>
      <c r="G209" s="32"/>
      <c r="H209" s="32"/>
      <c r="I209" s="32"/>
      <c r="J209" s="32"/>
      <c r="K209" s="32"/>
      <c r="L209" s="32"/>
      <c r="M209" s="32"/>
      <c r="N209" s="32"/>
    </row>
    <row r="210" spans="1:14" ht="15" customHeight="1">
      <c r="A210" s="30"/>
      <c r="B210" s="32"/>
      <c r="C210" s="32"/>
      <c r="D210" s="33" t="str">
        <f>IF(C210="","",IFERROR(INDEX(품목마스터!$B$2:$B$300,MATCH(C210,품목마스터!$A$2:$A$300,0)),"※미등록"))</f>
        <v/>
      </c>
      <c r="E210" s="31"/>
      <c r="F210" s="32"/>
      <c r="G210" s="32"/>
      <c r="H210" s="32"/>
      <c r="I210" s="32"/>
      <c r="J210" s="32"/>
      <c r="K210" s="32"/>
      <c r="L210" s="32"/>
      <c r="M210" s="32"/>
      <c r="N210" s="32"/>
    </row>
    <row r="211" spans="1:14" ht="15" customHeight="1">
      <c r="A211" s="30"/>
      <c r="B211" s="32"/>
      <c r="C211" s="32"/>
      <c r="D211" s="33" t="str">
        <f>IF(C211="","",IFERROR(INDEX(품목마스터!$B$2:$B$300,MATCH(C211,품목마스터!$A$2:$A$300,0)),"※미등록"))</f>
        <v/>
      </c>
      <c r="E211" s="31"/>
      <c r="F211" s="32"/>
      <c r="G211" s="32"/>
      <c r="H211" s="32"/>
      <c r="I211" s="32"/>
      <c r="J211" s="32"/>
      <c r="K211" s="32"/>
      <c r="L211" s="32"/>
      <c r="M211" s="32"/>
      <c r="N211" s="32"/>
    </row>
    <row r="212" spans="1:14" ht="15" customHeight="1">
      <c r="A212" s="30"/>
      <c r="B212" s="32"/>
      <c r="C212" s="32"/>
      <c r="D212" s="33" t="str">
        <f>IF(C212="","",IFERROR(INDEX(품목마스터!$B$2:$B$300,MATCH(C212,품목마스터!$A$2:$A$300,0)),"※미등록"))</f>
        <v/>
      </c>
      <c r="E212" s="31"/>
      <c r="F212" s="32"/>
      <c r="G212" s="32"/>
      <c r="H212" s="32"/>
      <c r="I212" s="32"/>
      <c r="J212" s="32"/>
      <c r="K212" s="32"/>
      <c r="L212" s="32"/>
      <c r="M212" s="32"/>
      <c r="N212" s="32"/>
    </row>
    <row r="213" spans="1:14" ht="15" customHeight="1">
      <c r="A213" s="30"/>
      <c r="B213" s="32"/>
      <c r="C213" s="32"/>
      <c r="D213" s="33" t="str">
        <f>IF(C213="","",IFERROR(INDEX(품목마스터!$B$2:$B$300,MATCH(C213,품목마스터!$A$2:$A$300,0)),"※미등록"))</f>
        <v/>
      </c>
      <c r="E213" s="31"/>
      <c r="F213" s="32"/>
      <c r="G213" s="32"/>
      <c r="H213" s="32"/>
      <c r="I213" s="32"/>
      <c r="J213" s="32"/>
      <c r="K213" s="32"/>
      <c r="L213" s="32"/>
      <c r="M213" s="32"/>
      <c r="N213" s="32"/>
    </row>
    <row r="214" spans="1:14" ht="15" customHeight="1">
      <c r="A214" s="30"/>
      <c r="B214" s="32"/>
      <c r="C214" s="32"/>
      <c r="D214" s="33" t="str">
        <f>IF(C214="","",IFERROR(INDEX(품목마스터!$B$2:$B$300,MATCH(C214,품목마스터!$A$2:$A$300,0)),"※미등록"))</f>
        <v/>
      </c>
      <c r="E214" s="31"/>
      <c r="F214" s="32"/>
      <c r="G214" s="32"/>
      <c r="H214" s="32"/>
      <c r="I214" s="32"/>
      <c r="J214" s="32"/>
      <c r="K214" s="32"/>
      <c r="L214" s="32"/>
      <c r="M214" s="32"/>
      <c r="N214" s="32"/>
    </row>
    <row r="215" spans="1:14" ht="15" customHeight="1">
      <c r="A215" s="30"/>
      <c r="B215" s="32"/>
      <c r="C215" s="32"/>
      <c r="D215" s="33" t="str">
        <f>IF(C215="","",IFERROR(INDEX(품목마스터!$B$2:$B$300,MATCH(C215,품목마스터!$A$2:$A$300,0)),"※미등록"))</f>
        <v/>
      </c>
      <c r="E215" s="31"/>
      <c r="F215" s="32"/>
      <c r="G215" s="32"/>
      <c r="H215" s="32"/>
      <c r="I215" s="32"/>
      <c r="J215" s="32"/>
      <c r="K215" s="32"/>
      <c r="L215" s="32"/>
      <c r="M215" s="32"/>
      <c r="N215" s="32"/>
    </row>
    <row r="216" spans="1:14" ht="15" customHeight="1">
      <c r="A216" s="30"/>
      <c r="B216" s="32"/>
      <c r="C216" s="32"/>
      <c r="D216" s="33" t="str">
        <f>IF(C216="","",IFERROR(INDEX(품목마스터!$B$2:$B$300,MATCH(C216,품목마스터!$A$2:$A$300,0)),"※미등록"))</f>
        <v/>
      </c>
      <c r="E216" s="31"/>
      <c r="F216" s="32"/>
      <c r="G216" s="32"/>
      <c r="H216" s="32"/>
      <c r="I216" s="32"/>
      <c r="J216" s="32"/>
      <c r="K216" s="32"/>
      <c r="L216" s="32"/>
      <c r="M216" s="32"/>
      <c r="N216" s="32"/>
    </row>
    <row r="217" spans="1:14" ht="15" customHeight="1">
      <c r="A217" s="30"/>
      <c r="B217" s="32"/>
      <c r="C217" s="32"/>
      <c r="D217" s="33" t="str">
        <f>IF(C217="","",IFERROR(INDEX(품목마스터!$B$2:$B$300,MATCH(C217,품목마스터!$A$2:$A$300,0)),"※미등록"))</f>
        <v/>
      </c>
      <c r="E217" s="31"/>
      <c r="F217" s="32"/>
      <c r="G217" s="32"/>
      <c r="H217" s="32"/>
      <c r="I217" s="32"/>
      <c r="J217" s="32"/>
      <c r="K217" s="32"/>
      <c r="L217" s="32"/>
      <c r="M217" s="32"/>
      <c r="N217" s="32"/>
    </row>
    <row r="218" spans="1:14" ht="15" customHeight="1">
      <c r="A218" s="30"/>
      <c r="B218" s="32"/>
      <c r="C218" s="32"/>
      <c r="D218" s="33" t="str">
        <f>IF(C218="","",IFERROR(INDEX(품목마스터!$B$2:$B$300,MATCH(C218,품목마스터!$A$2:$A$300,0)),"※미등록"))</f>
        <v/>
      </c>
      <c r="E218" s="31"/>
      <c r="F218" s="32"/>
      <c r="G218" s="32"/>
      <c r="H218" s="32"/>
      <c r="I218" s="32"/>
      <c r="J218" s="32"/>
      <c r="K218" s="32"/>
      <c r="L218" s="32"/>
      <c r="M218" s="32"/>
      <c r="N218" s="32"/>
    </row>
    <row r="219" spans="1:14" ht="15" customHeight="1">
      <c r="A219" s="30"/>
      <c r="B219" s="32"/>
      <c r="C219" s="32"/>
      <c r="D219" s="33" t="str">
        <f>IF(C219="","",IFERROR(INDEX(품목마스터!$B$2:$B$300,MATCH(C219,품목마스터!$A$2:$A$300,0)),"※미등록"))</f>
        <v/>
      </c>
      <c r="E219" s="31"/>
      <c r="F219" s="32"/>
      <c r="G219" s="32"/>
      <c r="H219" s="32"/>
      <c r="I219" s="32"/>
      <c r="J219" s="32"/>
      <c r="K219" s="32"/>
      <c r="L219" s="32"/>
      <c r="M219" s="32"/>
      <c r="N219" s="32"/>
    </row>
    <row r="220" spans="1:14" ht="15" customHeight="1">
      <c r="A220" s="30"/>
      <c r="B220" s="32"/>
      <c r="C220" s="32"/>
      <c r="D220" s="33" t="str">
        <f>IF(C220="","",IFERROR(INDEX(품목마스터!$B$2:$B$300,MATCH(C220,품목마스터!$A$2:$A$300,0)),"※미등록"))</f>
        <v/>
      </c>
      <c r="E220" s="31"/>
      <c r="F220" s="32"/>
      <c r="G220" s="32"/>
      <c r="H220" s="32"/>
      <c r="I220" s="32"/>
      <c r="J220" s="32"/>
      <c r="K220" s="32"/>
      <c r="L220" s="32"/>
      <c r="M220" s="32"/>
      <c r="N220" s="32"/>
    </row>
    <row r="221" spans="1:14" ht="15" customHeight="1">
      <c r="A221" s="30"/>
      <c r="B221" s="32"/>
      <c r="C221" s="32"/>
      <c r="D221" s="33" t="str">
        <f>IF(C221="","",IFERROR(INDEX(품목마스터!$B$2:$B$300,MATCH(C221,품목마스터!$A$2:$A$300,0)),"※미등록"))</f>
        <v/>
      </c>
      <c r="E221" s="31"/>
      <c r="F221" s="32"/>
      <c r="G221" s="32"/>
      <c r="H221" s="32"/>
      <c r="I221" s="32"/>
      <c r="J221" s="32"/>
      <c r="K221" s="32"/>
      <c r="L221" s="32"/>
      <c r="M221" s="32"/>
      <c r="N221" s="32"/>
    </row>
    <row r="222" spans="1:14" ht="15" customHeight="1">
      <c r="A222" s="30"/>
      <c r="B222" s="32"/>
      <c r="C222" s="32"/>
      <c r="D222" s="33" t="str">
        <f>IF(C222="","",IFERROR(INDEX(품목마스터!$B$2:$B$300,MATCH(C222,품목마스터!$A$2:$A$300,0)),"※미등록"))</f>
        <v/>
      </c>
      <c r="E222" s="31"/>
      <c r="F222" s="32"/>
      <c r="G222" s="32"/>
      <c r="H222" s="32"/>
      <c r="I222" s="32"/>
      <c r="J222" s="32"/>
      <c r="K222" s="32"/>
      <c r="L222" s="32"/>
      <c r="M222" s="32"/>
      <c r="N222" s="32"/>
    </row>
    <row r="223" spans="1:14" ht="15" customHeight="1">
      <c r="A223" s="30"/>
      <c r="B223" s="32"/>
      <c r="C223" s="32"/>
      <c r="D223" s="33" t="str">
        <f>IF(C223="","",IFERROR(INDEX(품목마스터!$B$2:$B$300,MATCH(C223,품목마스터!$A$2:$A$300,0)),"※미등록"))</f>
        <v/>
      </c>
      <c r="E223" s="31"/>
      <c r="F223" s="32"/>
      <c r="G223" s="32"/>
      <c r="H223" s="32"/>
      <c r="I223" s="32"/>
      <c r="J223" s="32"/>
      <c r="K223" s="32"/>
      <c r="L223" s="32"/>
      <c r="M223" s="32"/>
      <c r="N223" s="32"/>
    </row>
    <row r="224" spans="1:14" ht="15" customHeight="1">
      <c r="A224" s="30"/>
      <c r="B224" s="32"/>
      <c r="C224" s="32"/>
      <c r="D224" s="33" t="str">
        <f>IF(C224="","",IFERROR(INDEX(품목마스터!$B$2:$B$300,MATCH(C224,품목마스터!$A$2:$A$300,0)),"※미등록"))</f>
        <v/>
      </c>
      <c r="E224" s="31"/>
      <c r="F224" s="32"/>
      <c r="G224" s="32"/>
      <c r="H224" s="32"/>
      <c r="I224" s="32"/>
      <c r="J224" s="32"/>
      <c r="K224" s="32"/>
      <c r="L224" s="32"/>
      <c r="M224" s="32"/>
      <c r="N224" s="32"/>
    </row>
    <row r="225" spans="1:14" ht="15" customHeight="1">
      <c r="A225" s="30"/>
      <c r="B225" s="32"/>
      <c r="C225" s="32"/>
      <c r="D225" s="33" t="str">
        <f>IF(C225="","",IFERROR(INDEX(품목마스터!$B$2:$B$300,MATCH(C225,품목마스터!$A$2:$A$300,0)),"※미등록"))</f>
        <v/>
      </c>
      <c r="E225" s="31"/>
      <c r="F225" s="32"/>
      <c r="G225" s="32"/>
      <c r="H225" s="32"/>
      <c r="I225" s="32"/>
      <c r="J225" s="32"/>
      <c r="K225" s="32"/>
      <c r="L225" s="32"/>
      <c r="M225" s="32"/>
      <c r="N225" s="32"/>
    </row>
    <row r="226" spans="1:14" ht="15" customHeight="1">
      <c r="A226" s="30"/>
      <c r="B226" s="32"/>
      <c r="C226" s="32"/>
      <c r="D226" s="33" t="str">
        <f>IF(C226="","",IFERROR(INDEX(품목마스터!$B$2:$B$300,MATCH(C226,품목마스터!$A$2:$A$300,0)),"※미등록"))</f>
        <v/>
      </c>
      <c r="E226" s="31"/>
      <c r="F226" s="32"/>
      <c r="G226" s="32"/>
      <c r="H226" s="32"/>
      <c r="I226" s="32"/>
      <c r="J226" s="32"/>
      <c r="K226" s="32"/>
      <c r="L226" s="32"/>
      <c r="M226" s="32"/>
      <c r="N226" s="32"/>
    </row>
    <row r="227" spans="1:14" ht="15" customHeight="1">
      <c r="A227" s="30"/>
      <c r="B227" s="32"/>
      <c r="C227" s="32"/>
      <c r="D227" s="33" t="str">
        <f>IF(C227="","",IFERROR(INDEX(품목마스터!$B$2:$B$300,MATCH(C227,품목마스터!$A$2:$A$300,0)),"※미등록"))</f>
        <v/>
      </c>
      <c r="E227" s="31"/>
      <c r="F227" s="32"/>
      <c r="G227" s="32"/>
      <c r="H227" s="32"/>
      <c r="I227" s="32"/>
      <c r="J227" s="32"/>
      <c r="K227" s="32"/>
      <c r="L227" s="32"/>
      <c r="M227" s="32"/>
      <c r="N227" s="32"/>
    </row>
    <row r="228" spans="1:14" ht="15" customHeight="1">
      <c r="A228" s="30"/>
      <c r="B228" s="32"/>
      <c r="C228" s="32"/>
      <c r="D228" s="33" t="str">
        <f>IF(C228="","",IFERROR(INDEX(품목마스터!$B$2:$B$300,MATCH(C228,품목마스터!$A$2:$A$300,0)),"※미등록"))</f>
        <v/>
      </c>
      <c r="E228" s="31"/>
      <c r="F228" s="32"/>
      <c r="G228" s="32"/>
      <c r="H228" s="32"/>
      <c r="I228" s="32"/>
      <c r="J228" s="32"/>
      <c r="K228" s="32"/>
      <c r="L228" s="32"/>
      <c r="M228" s="32"/>
      <c r="N228" s="32"/>
    </row>
    <row r="229" spans="1:14" ht="15" customHeight="1">
      <c r="A229" s="30"/>
      <c r="B229" s="32"/>
      <c r="C229" s="32"/>
      <c r="D229" s="33" t="str">
        <f>IF(C229="","",IFERROR(INDEX(품목마스터!$B$2:$B$300,MATCH(C229,품목마스터!$A$2:$A$300,0)),"※미등록"))</f>
        <v/>
      </c>
      <c r="E229" s="31"/>
      <c r="F229" s="32"/>
      <c r="G229" s="32"/>
      <c r="H229" s="32"/>
      <c r="I229" s="32"/>
      <c r="J229" s="32"/>
      <c r="K229" s="32"/>
      <c r="L229" s="32"/>
      <c r="M229" s="32"/>
      <c r="N229" s="32"/>
    </row>
    <row r="230" spans="1:14" ht="15" customHeight="1">
      <c r="A230" s="30"/>
      <c r="B230" s="32"/>
      <c r="C230" s="32"/>
      <c r="D230" s="33" t="str">
        <f>IF(C230="","",IFERROR(INDEX(품목마스터!$B$2:$B$300,MATCH(C230,품목마스터!$A$2:$A$300,0)),"※미등록"))</f>
        <v/>
      </c>
      <c r="E230" s="31"/>
      <c r="F230" s="32"/>
      <c r="G230" s="32"/>
      <c r="H230" s="32"/>
      <c r="I230" s="32"/>
      <c r="J230" s="32"/>
      <c r="K230" s="32"/>
      <c r="L230" s="32"/>
      <c r="M230" s="32"/>
      <c r="N230" s="32"/>
    </row>
    <row r="231" spans="1:14" ht="15" customHeight="1">
      <c r="A231" s="30"/>
      <c r="B231" s="32"/>
      <c r="C231" s="32"/>
      <c r="D231" s="33" t="str">
        <f>IF(C231="","",IFERROR(INDEX(품목마스터!$B$2:$B$300,MATCH(C231,품목마스터!$A$2:$A$300,0)),"※미등록"))</f>
        <v/>
      </c>
      <c r="E231" s="31"/>
      <c r="F231" s="32"/>
      <c r="G231" s="32"/>
      <c r="H231" s="32"/>
      <c r="I231" s="32"/>
      <c r="J231" s="32"/>
      <c r="K231" s="32"/>
      <c r="L231" s="32"/>
      <c r="M231" s="32"/>
      <c r="N231" s="32"/>
    </row>
    <row r="232" spans="1:14" ht="15" customHeight="1">
      <c r="A232" s="30"/>
      <c r="B232" s="32"/>
      <c r="C232" s="32"/>
      <c r="D232" s="33" t="str">
        <f>IF(C232="","",IFERROR(INDEX(품목마스터!$B$2:$B$300,MATCH(C232,품목마스터!$A$2:$A$300,0)),"※미등록"))</f>
        <v/>
      </c>
      <c r="E232" s="31"/>
      <c r="F232" s="32"/>
      <c r="G232" s="32"/>
      <c r="H232" s="32"/>
      <c r="I232" s="32"/>
      <c r="J232" s="32"/>
      <c r="K232" s="32"/>
      <c r="L232" s="32"/>
      <c r="M232" s="32"/>
      <c r="N232" s="32"/>
    </row>
    <row r="233" spans="1:14" ht="15" customHeight="1">
      <c r="A233" s="30"/>
      <c r="B233" s="32"/>
      <c r="C233" s="32"/>
      <c r="D233" s="33" t="str">
        <f>IF(C233="","",IFERROR(INDEX(품목마스터!$B$2:$B$300,MATCH(C233,품목마스터!$A$2:$A$300,0)),"※미등록"))</f>
        <v/>
      </c>
      <c r="E233" s="31"/>
      <c r="F233" s="32"/>
      <c r="G233" s="32"/>
      <c r="H233" s="32"/>
      <c r="I233" s="32"/>
      <c r="J233" s="32"/>
      <c r="K233" s="32"/>
      <c r="L233" s="32"/>
      <c r="M233" s="32"/>
      <c r="N233" s="32"/>
    </row>
    <row r="234" spans="1:14" ht="15" customHeight="1">
      <c r="A234" s="30"/>
      <c r="B234" s="32"/>
      <c r="C234" s="32"/>
      <c r="D234" s="33" t="str">
        <f>IF(C234="","",IFERROR(INDEX(품목마스터!$B$2:$B$300,MATCH(C234,품목마스터!$A$2:$A$300,0)),"※미등록"))</f>
        <v/>
      </c>
      <c r="E234" s="31"/>
      <c r="F234" s="32"/>
      <c r="G234" s="32"/>
      <c r="H234" s="32"/>
      <c r="I234" s="32"/>
      <c r="J234" s="32"/>
      <c r="K234" s="32"/>
      <c r="L234" s="32"/>
      <c r="M234" s="32"/>
      <c r="N234" s="32"/>
    </row>
    <row r="235" spans="1:14" ht="15" customHeight="1">
      <c r="A235" s="30"/>
      <c r="B235" s="32"/>
      <c r="C235" s="32"/>
      <c r="D235" s="33" t="str">
        <f>IF(C235="","",IFERROR(INDEX(품목마스터!$B$2:$B$300,MATCH(C235,품목마스터!$A$2:$A$300,0)),"※미등록"))</f>
        <v/>
      </c>
      <c r="E235" s="31"/>
      <c r="F235" s="32"/>
      <c r="G235" s="32"/>
      <c r="H235" s="32"/>
      <c r="I235" s="32"/>
      <c r="J235" s="32"/>
      <c r="K235" s="32"/>
      <c r="L235" s="32"/>
      <c r="M235" s="32"/>
      <c r="N235" s="32"/>
    </row>
    <row r="236" spans="1:14" ht="15" customHeight="1">
      <c r="A236" s="30"/>
      <c r="B236" s="32"/>
      <c r="C236" s="32"/>
      <c r="D236" s="33" t="str">
        <f>IF(C236="","",IFERROR(INDEX(품목마스터!$B$2:$B$300,MATCH(C236,품목마스터!$A$2:$A$300,0)),"※미등록"))</f>
        <v/>
      </c>
      <c r="E236" s="31"/>
      <c r="F236" s="32"/>
      <c r="G236" s="32"/>
      <c r="H236" s="32"/>
      <c r="I236" s="32"/>
      <c r="J236" s="32"/>
      <c r="K236" s="32"/>
      <c r="L236" s="32"/>
      <c r="M236" s="32"/>
      <c r="N236" s="32"/>
    </row>
    <row r="237" spans="1:14" ht="15" customHeight="1">
      <c r="A237" s="30"/>
      <c r="B237" s="32"/>
      <c r="C237" s="32"/>
      <c r="D237" s="33" t="str">
        <f>IF(C237="","",IFERROR(INDEX(품목마스터!$B$2:$B$300,MATCH(C237,품목마스터!$A$2:$A$300,0)),"※미등록"))</f>
        <v/>
      </c>
      <c r="E237" s="31"/>
      <c r="F237" s="32"/>
      <c r="G237" s="32"/>
      <c r="H237" s="32"/>
      <c r="I237" s="32"/>
      <c r="J237" s="32"/>
      <c r="K237" s="32"/>
      <c r="L237" s="32"/>
      <c r="M237" s="32"/>
      <c r="N237" s="32"/>
    </row>
    <row r="238" spans="1:14" ht="15" customHeight="1">
      <c r="A238" s="30"/>
      <c r="B238" s="32"/>
      <c r="C238" s="32"/>
      <c r="D238" s="33" t="str">
        <f>IF(C238="","",IFERROR(INDEX(품목마스터!$B$2:$B$300,MATCH(C238,품목마스터!$A$2:$A$300,0)),"※미등록"))</f>
        <v/>
      </c>
      <c r="E238" s="31"/>
      <c r="F238" s="32"/>
      <c r="G238" s="32"/>
      <c r="H238" s="32"/>
      <c r="I238" s="32"/>
      <c r="J238" s="32"/>
      <c r="K238" s="32"/>
      <c r="L238" s="32"/>
      <c r="M238" s="32"/>
      <c r="N238" s="32"/>
    </row>
    <row r="239" spans="1:14" ht="15" customHeight="1">
      <c r="A239" s="30"/>
      <c r="B239" s="32"/>
      <c r="C239" s="32"/>
      <c r="D239" s="33" t="str">
        <f>IF(C239="","",IFERROR(INDEX(품목마스터!$B$2:$B$300,MATCH(C239,품목마스터!$A$2:$A$300,0)),"※미등록"))</f>
        <v/>
      </c>
      <c r="E239" s="31"/>
      <c r="F239" s="32"/>
      <c r="G239" s="32"/>
      <c r="H239" s="32"/>
      <c r="I239" s="32"/>
      <c r="J239" s="32"/>
      <c r="K239" s="32"/>
      <c r="L239" s="32"/>
      <c r="M239" s="32"/>
      <c r="N239" s="32"/>
    </row>
    <row r="240" spans="1:14" ht="15" customHeight="1">
      <c r="A240" s="30"/>
      <c r="B240" s="32"/>
      <c r="C240" s="32"/>
      <c r="D240" s="33" t="str">
        <f>IF(C240="","",IFERROR(INDEX(품목마스터!$B$2:$B$300,MATCH(C240,품목마스터!$A$2:$A$300,0)),"※미등록"))</f>
        <v/>
      </c>
      <c r="E240" s="31"/>
      <c r="F240" s="32"/>
      <c r="G240" s="32"/>
      <c r="H240" s="32"/>
      <c r="I240" s="32"/>
      <c r="J240" s="32"/>
      <c r="K240" s="32"/>
      <c r="L240" s="32"/>
      <c r="M240" s="32"/>
      <c r="N240" s="32"/>
    </row>
    <row r="241" spans="1:14" ht="15" customHeight="1">
      <c r="A241" s="30"/>
      <c r="B241" s="32"/>
      <c r="C241" s="32"/>
      <c r="D241" s="33" t="str">
        <f>IF(C241="","",IFERROR(INDEX(품목마스터!$B$2:$B$300,MATCH(C241,품목마스터!$A$2:$A$300,0)),"※미등록"))</f>
        <v/>
      </c>
      <c r="E241" s="31"/>
      <c r="F241" s="32"/>
      <c r="G241" s="32"/>
      <c r="H241" s="32"/>
      <c r="I241" s="32"/>
      <c r="J241" s="32"/>
      <c r="K241" s="32"/>
      <c r="L241" s="32"/>
      <c r="M241" s="32"/>
      <c r="N241" s="32"/>
    </row>
    <row r="242" spans="1:14" ht="15" customHeight="1">
      <c r="A242" s="30"/>
      <c r="B242" s="32"/>
      <c r="C242" s="32"/>
      <c r="D242" s="33" t="str">
        <f>IF(C242="","",IFERROR(INDEX(품목마스터!$B$2:$B$300,MATCH(C242,품목마스터!$A$2:$A$300,0)),"※미등록"))</f>
        <v/>
      </c>
      <c r="E242" s="31"/>
      <c r="F242" s="32"/>
      <c r="G242" s="32"/>
      <c r="H242" s="32"/>
      <c r="I242" s="32"/>
      <c r="J242" s="32"/>
      <c r="K242" s="32"/>
      <c r="L242" s="32"/>
      <c r="M242" s="32"/>
      <c r="N242" s="32"/>
    </row>
    <row r="243" spans="1:14" ht="15" customHeight="1">
      <c r="A243" s="30"/>
      <c r="B243" s="32"/>
      <c r="C243" s="32"/>
      <c r="D243" s="33" t="str">
        <f>IF(C243="","",IFERROR(INDEX(품목마스터!$B$2:$B$300,MATCH(C243,품목마스터!$A$2:$A$300,0)),"※미등록"))</f>
        <v/>
      </c>
      <c r="E243" s="31"/>
      <c r="F243" s="32"/>
      <c r="G243" s="32"/>
      <c r="H243" s="32"/>
      <c r="I243" s="32"/>
      <c r="J243" s="32"/>
      <c r="K243" s="32"/>
      <c r="L243" s="32"/>
      <c r="M243" s="32"/>
      <c r="N243" s="32"/>
    </row>
    <row r="244" spans="1:14" ht="15" customHeight="1">
      <c r="A244" s="30"/>
      <c r="B244" s="32"/>
      <c r="C244" s="32"/>
      <c r="D244" s="33" t="str">
        <f>IF(C244="","",IFERROR(INDEX(품목마스터!$B$2:$B$300,MATCH(C244,품목마스터!$A$2:$A$300,0)),"※미등록"))</f>
        <v/>
      </c>
      <c r="E244" s="31"/>
      <c r="F244" s="32"/>
      <c r="G244" s="32"/>
      <c r="H244" s="32"/>
      <c r="I244" s="32"/>
      <c r="J244" s="32"/>
      <c r="K244" s="32"/>
      <c r="L244" s="32"/>
      <c r="M244" s="32"/>
      <c r="N244" s="32"/>
    </row>
    <row r="245" spans="1:14" ht="15" customHeight="1">
      <c r="A245" s="30"/>
      <c r="B245" s="32"/>
      <c r="C245" s="32"/>
      <c r="D245" s="33" t="str">
        <f>IF(C245="","",IFERROR(INDEX(품목마스터!$B$2:$B$300,MATCH(C245,품목마스터!$A$2:$A$300,0)),"※미등록"))</f>
        <v/>
      </c>
      <c r="E245" s="31"/>
      <c r="F245" s="32"/>
      <c r="G245" s="32"/>
      <c r="H245" s="32"/>
      <c r="I245" s="32"/>
      <c r="J245" s="32"/>
      <c r="K245" s="32"/>
      <c r="L245" s="32"/>
      <c r="M245" s="32"/>
      <c r="N245" s="32"/>
    </row>
    <row r="246" spans="1:14" ht="15" customHeight="1">
      <c r="A246" s="30"/>
      <c r="B246" s="32"/>
      <c r="C246" s="32"/>
      <c r="D246" s="33" t="str">
        <f>IF(C246="","",IFERROR(INDEX(품목마스터!$B$2:$B$300,MATCH(C246,품목마스터!$A$2:$A$300,0)),"※미등록"))</f>
        <v/>
      </c>
      <c r="E246" s="31"/>
      <c r="F246" s="32"/>
      <c r="G246" s="32"/>
      <c r="H246" s="32"/>
      <c r="I246" s="32"/>
      <c r="J246" s="32"/>
      <c r="K246" s="32"/>
      <c r="L246" s="32"/>
      <c r="M246" s="32"/>
      <c r="N246" s="32"/>
    </row>
    <row r="247" spans="1:14" ht="15" customHeight="1">
      <c r="A247" s="30"/>
      <c r="B247" s="32"/>
      <c r="C247" s="32"/>
      <c r="D247" s="33" t="str">
        <f>IF(C247="","",IFERROR(INDEX(품목마스터!$B$2:$B$300,MATCH(C247,품목마스터!$A$2:$A$300,0)),"※미등록"))</f>
        <v/>
      </c>
      <c r="E247" s="31"/>
      <c r="F247" s="32"/>
      <c r="G247" s="32"/>
      <c r="H247" s="32"/>
      <c r="I247" s="32"/>
      <c r="J247" s="32"/>
      <c r="K247" s="32"/>
      <c r="L247" s="32"/>
      <c r="M247" s="32"/>
      <c r="N247" s="32"/>
    </row>
    <row r="248" spans="1:14" ht="15" customHeight="1">
      <c r="A248" s="30"/>
      <c r="B248" s="32"/>
      <c r="C248" s="32"/>
      <c r="D248" s="33" t="str">
        <f>IF(C248="","",IFERROR(INDEX(품목마스터!$B$2:$B$300,MATCH(C248,품목마스터!$A$2:$A$300,0)),"※미등록"))</f>
        <v/>
      </c>
      <c r="E248" s="31"/>
      <c r="F248" s="32"/>
      <c r="G248" s="32"/>
      <c r="H248" s="32"/>
      <c r="I248" s="32"/>
      <c r="J248" s="32"/>
      <c r="K248" s="32"/>
      <c r="L248" s="32"/>
      <c r="M248" s="32"/>
      <c r="N248" s="32"/>
    </row>
    <row r="249" spans="1:14" ht="15" customHeight="1">
      <c r="A249" s="30"/>
      <c r="B249" s="32"/>
      <c r="C249" s="32"/>
      <c r="D249" s="33" t="str">
        <f>IF(C249="","",IFERROR(INDEX(품목마스터!$B$2:$B$300,MATCH(C249,품목마스터!$A$2:$A$300,0)),"※미등록"))</f>
        <v/>
      </c>
      <c r="E249" s="31"/>
      <c r="F249" s="32"/>
      <c r="G249" s="32"/>
      <c r="H249" s="32"/>
      <c r="I249" s="32"/>
      <c r="J249" s="32"/>
      <c r="K249" s="32"/>
      <c r="L249" s="32"/>
      <c r="M249" s="32"/>
      <c r="N249" s="32"/>
    </row>
    <row r="250" spans="1:14" ht="15" customHeight="1">
      <c r="A250" s="30"/>
      <c r="B250" s="32"/>
      <c r="C250" s="32"/>
      <c r="D250" s="33" t="str">
        <f>IF(C250="","",IFERROR(INDEX(품목마스터!$B$2:$B$300,MATCH(C250,품목마스터!$A$2:$A$300,0)),"※미등록"))</f>
        <v/>
      </c>
      <c r="E250" s="31"/>
      <c r="F250" s="32"/>
      <c r="G250" s="32"/>
      <c r="H250" s="32"/>
      <c r="I250" s="32"/>
      <c r="J250" s="32"/>
      <c r="K250" s="32"/>
      <c r="L250" s="32"/>
      <c r="M250" s="32"/>
      <c r="N250" s="32"/>
    </row>
    <row r="251" spans="1:14" ht="15" customHeight="1">
      <c r="A251" s="30"/>
      <c r="B251" s="32"/>
      <c r="C251" s="32"/>
      <c r="D251" s="33" t="str">
        <f>IF(C251="","",IFERROR(INDEX(품목마스터!$B$2:$B$300,MATCH(C251,품목마스터!$A$2:$A$300,0)),"※미등록"))</f>
        <v/>
      </c>
      <c r="E251" s="31"/>
      <c r="F251" s="32"/>
      <c r="G251" s="32"/>
      <c r="H251" s="32"/>
      <c r="I251" s="32"/>
      <c r="J251" s="32"/>
      <c r="K251" s="32"/>
      <c r="L251" s="32"/>
      <c r="M251" s="32"/>
      <c r="N251" s="32"/>
    </row>
    <row r="252" spans="1:14" ht="15" customHeight="1">
      <c r="A252" s="30"/>
      <c r="B252" s="32"/>
      <c r="C252" s="32"/>
      <c r="D252" s="33" t="str">
        <f>IF(C252="","",IFERROR(INDEX(품목마스터!$B$2:$B$300,MATCH(C252,품목마스터!$A$2:$A$300,0)),"※미등록"))</f>
        <v/>
      </c>
      <c r="E252" s="31"/>
      <c r="F252" s="32"/>
      <c r="G252" s="32"/>
      <c r="H252" s="32"/>
      <c r="I252" s="32"/>
      <c r="J252" s="32"/>
      <c r="K252" s="32"/>
      <c r="L252" s="32"/>
      <c r="M252" s="32"/>
      <c r="N252" s="32"/>
    </row>
    <row r="253" spans="1:14" ht="15" customHeight="1">
      <c r="A253" s="30"/>
      <c r="B253" s="32"/>
      <c r="C253" s="32"/>
      <c r="D253" s="33" t="str">
        <f>IF(C253="","",IFERROR(INDEX(품목마스터!$B$2:$B$300,MATCH(C253,품목마스터!$A$2:$A$300,0)),"※미등록"))</f>
        <v/>
      </c>
      <c r="E253" s="31"/>
      <c r="F253" s="32"/>
      <c r="G253" s="32"/>
      <c r="H253" s="32"/>
      <c r="I253" s="32"/>
      <c r="J253" s="32"/>
      <c r="K253" s="32"/>
      <c r="L253" s="32"/>
      <c r="M253" s="32"/>
      <c r="N253" s="32"/>
    </row>
    <row r="254" spans="1:14" ht="15" customHeight="1">
      <c r="A254" s="30"/>
      <c r="B254" s="32"/>
      <c r="C254" s="32"/>
      <c r="D254" s="33" t="str">
        <f>IF(C254="","",IFERROR(INDEX(품목마스터!$B$2:$B$300,MATCH(C254,품목마스터!$A$2:$A$300,0)),"※미등록"))</f>
        <v/>
      </c>
      <c r="E254" s="31"/>
      <c r="F254" s="32"/>
      <c r="G254" s="32"/>
      <c r="H254" s="32"/>
      <c r="I254" s="32"/>
      <c r="J254" s="32"/>
      <c r="K254" s="32"/>
      <c r="L254" s="32"/>
      <c r="M254" s="32"/>
      <c r="N254" s="32"/>
    </row>
    <row r="255" spans="1:14" ht="15" customHeight="1">
      <c r="A255" s="30"/>
      <c r="B255" s="32"/>
      <c r="C255" s="32"/>
      <c r="D255" s="33" t="str">
        <f>IF(C255="","",IFERROR(INDEX(품목마스터!$B$2:$B$300,MATCH(C255,품목마스터!$A$2:$A$300,0)),"※미등록"))</f>
        <v/>
      </c>
      <c r="E255" s="31"/>
      <c r="F255" s="32"/>
      <c r="G255" s="32"/>
      <c r="H255" s="32"/>
      <c r="I255" s="32"/>
      <c r="J255" s="32"/>
      <c r="K255" s="32"/>
      <c r="L255" s="32"/>
      <c r="M255" s="32"/>
      <c r="N255" s="32"/>
    </row>
    <row r="256" spans="1:14" ht="15" customHeight="1">
      <c r="A256" s="30"/>
      <c r="B256" s="32"/>
      <c r="C256" s="32"/>
      <c r="D256" s="33" t="str">
        <f>IF(C256="","",IFERROR(INDEX(품목마스터!$B$2:$B$300,MATCH(C256,품목마스터!$A$2:$A$300,0)),"※미등록"))</f>
        <v/>
      </c>
      <c r="E256" s="31"/>
      <c r="F256" s="32"/>
      <c r="G256" s="32"/>
      <c r="H256" s="32"/>
      <c r="I256" s="32"/>
      <c r="J256" s="32"/>
      <c r="K256" s="32"/>
      <c r="L256" s="32"/>
      <c r="M256" s="32"/>
      <c r="N256" s="32"/>
    </row>
    <row r="257" spans="1:14" ht="15" customHeight="1">
      <c r="A257" s="30"/>
      <c r="B257" s="32"/>
      <c r="C257" s="32"/>
      <c r="D257" s="33" t="str">
        <f>IF(C257="","",IFERROR(INDEX(품목마스터!$B$2:$B$300,MATCH(C257,품목마스터!$A$2:$A$300,0)),"※미등록"))</f>
        <v/>
      </c>
      <c r="E257" s="31"/>
      <c r="F257" s="32"/>
      <c r="G257" s="32"/>
      <c r="H257" s="32"/>
      <c r="I257" s="32"/>
      <c r="J257" s="32"/>
      <c r="K257" s="32"/>
      <c r="L257" s="32"/>
      <c r="M257" s="32"/>
      <c r="N257" s="32"/>
    </row>
    <row r="258" spans="1:14" ht="15" customHeight="1">
      <c r="A258" s="30"/>
      <c r="B258" s="32"/>
      <c r="C258" s="32"/>
      <c r="D258" s="33" t="str">
        <f>IF(C258="","",IFERROR(INDEX(품목마스터!$B$2:$B$300,MATCH(C258,품목마스터!$A$2:$A$300,0)),"※미등록"))</f>
        <v/>
      </c>
      <c r="E258" s="31"/>
      <c r="F258" s="32"/>
      <c r="G258" s="32"/>
      <c r="H258" s="32"/>
      <c r="I258" s="32"/>
      <c r="J258" s="32"/>
      <c r="K258" s="32"/>
      <c r="L258" s="32"/>
      <c r="M258" s="32"/>
      <c r="N258" s="32"/>
    </row>
    <row r="259" spans="1:14" ht="15" customHeight="1">
      <c r="A259" s="30"/>
      <c r="B259" s="32"/>
      <c r="C259" s="32"/>
      <c r="D259" s="33" t="str">
        <f>IF(C259="","",IFERROR(INDEX(품목마스터!$B$2:$B$300,MATCH(C259,품목마스터!$A$2:$A$300,0)),"※미등록"))</f>
        <v/>
      </c>
      <c r="E259" s="31"/>
      <c r="F259" s="32"/>
      <c r="G259" s="32"/>
      <c r="H259" s="32"/>
      <c r="I259" s="32"/>
      <c r="J259" s="32"/>
      <c r="K259" s="32"/>
      <c r="L259" s="32"/>
      <c r="M259" s="32"/>
      <c r="N259" s="32"/>
    </row>
    <row r="260" spans="1:14" ht="15" customHeight="1">
      <c r="A260" s="30"/>
      <c r="B260" s="32"/>
      <c r="C260" s="32"/>
      <c r="D260" s="33" t="str">
        <f>IF(C260="","",IFERROR(INDEX(품목마스터!$B$2:$B$300,MATCH(C260,품목마스터!$A$2:$A$300,0)),"※미등록"))</f>
        <v/>
      </c>
      <c r="E260" s="31"/>
      <c r="F260" s="32"/>
      <c r="G260" s="32"/>
      <c r="H260" s="32"/>
      <c r="I260" s="32"/>
      <c r="J260" s="32"/>
      <c r="K260" s="32"/>
      <c r="L260" s="32"/>
      <c r="M260" s="32"/>
      <c r="N260" s="32"/>
    </row>
    <row r="261" spans="1:14" ht="15" customHeight="1">
      <c r="A261" s="30"/>
      <c r="B261" s="32"/>
      <c r="C261" s="32"/>
      <c r="D261" s="33" t="str">
        <f>IF(C261="","",IFERROR(INDEX(품목마스터!$B$2:$B$300,MATCH(C261,품목마스터!$A$2:$A$300,0)),"※미등록"))</f>
        <v/>
      </c>
      <c r="E261" s="31"/>
      <c r="F261" s="32"/>
      <c r="G261" s="32"/>
      <c r="H261" s="32"/>
      <c r="I261" s="32"/>
      <c r="J261" s="32"/>
      <c r="K261" s="32"/>
      <c r="L261" s="32"/>
      <c r="M261" s="32"/>
      <c r="N261" s="32"/>
    </row>
    <row r="262" spans="1:14" ht="15" customHeight="1">
      <c r="A262" s="30"/>
      <c r="B262" s="32"/>
      <c r="C262" s="32"/>
      <c r="D262" s="33" t="str">
        <f>IF(C262="","",IFERROR(INDEX(품목마스터!$B$2:$B$300,MATCH(C262,품목마스터!$A$2:$A$300,0)),"※미등록"))</f>
        <v/>
      </c>
      <c r="E262" s="31"/>
      <c r="F262" s="32"/>
      <c r="G262" s="32"/>
      <c r="H262" s="32"/>
      <c r="I262" s="32"/>
      <c r="J262" s="32"/>
      <c r="K262" s="32"/>
      <c r="L262" s="32"/>
      <c r="M262" s="32"/>
      <c r="N262" s="32"/>
    </row>
    <row r="263" spans="1:14" ht="15" customHeight="1">
      <c r="A263" s="30"/>
      <c r="B263" s="32"/>
      <c r="C263" s="32"/>
      <c r="D263" s="33" t="str">
        <f>IF(C263="","",IFERROR(INDEX(품목마스터!$B$2:$B$300,MATCH(C263,품목마스터!$A$2:$A$300,0)),"※미등록"))</f>
        <v/>
      </c>
      <c r="E263" s="31"/>
      <c r="F263" s="32"/>
      <c r="G263" s="32"/>
      <c r="H263" s="32"/>
      <c r="I263" s="32"/>
      <c r="J263" s="32"/>
      <c r="K263" s="32"/>
      <c r="L263" s="32"/>
      <c r="M263" s="32"/>
      <c r="N263" s="32"/>
    </row>
    <row r="264" spans="1:14" ht="15" customHeight="1">
      <c r="A264" s="30"/>
      <c r="B264" s="32"/>
      <c r="C264" s="32"/>
      <c r="D264" s="33" t="str">
        <f>IF(C264="","",IFERROR(INDEX(품목마스터!$B$2:$B$300,MATCH(C264,품목마스터!$A$2:$A$300,0)),"※미등록"))</f>
        <v/>
      </c>
      <c r="E264" s="31"/>
      <c r="F264" s="32"/>
      <c r="G264" s="32"/>
      <c r="H264" s="32"/>
      <c r="I264" s="32"/>
      <c r="J264" s="32"/>
      <c r="K264" s="32"/>
      <c r="L264" s="32"/>
      <c r="M264" s="32"/>
      <c r="N264" s="32"/>
    </row>
    <row r="265" spans="1:14" ht="15" customHeight="1">
      <c r="A265" s="30"/>
      <c r="B265" s="32"/>
      <c r="C265" s="32"/>
      <c r="D265" s="33" t="str">
        <f>IF(C265="","",IFERROR(INDEX(품목마스터!$B$2:$B$300,MATCH(C265,품목마스터!$A$2:$A$300,0)),"※미등록"))</f>
        <v/>
      </c>
      <c r="E265" s="31"/>
      <c r="F265" s="32"/>
      <c r="G265" s="32"/>
      <c r="H265" s="32"/>
      <c r="I265" s="32"/>
      <c r="J265" s="32"/>
      <c r="K265" s="32"/>
      <c r="L265" s="32"/>
      <c r="M265" s="32"/>
      <c r="N265" s="32"/>
    </row>
    <row r="266" spans="1:14" ht="15" customHeight="1">
      <c r="A266" s="30"/>
      <c r="B266" s="32"/>
      <c r="C266" s="32"/>
      <c r="D266" s="33" t="str">
        <f>IF(C266="","",IFERROR(INDEX(품목마스터!$B$2:$B$300,MATCH(C266,품목마스터!$A$2:$A$300,0)),"※미등록"))</f>
        <v/>
      </c>
      <c r="E266" s="31"/>
      <c r="F266" s="32"/>
      <c r="G266" s="32"/>
      <c r="H266" s="32"/>
      <c r="I266" s="32"/>
      <c r="J266" s="32"/>
      <c r="K266" s="32"/>
      <c r="L266" s="32"/>
      <c r="M266" s="32"/>
      <c r="N266" s="32"/>
    </row>
    <row r="267" spans="1:14" ht="15" customHeight="1">
      <c r="A267" s="30"/>
      <c r="B267" s="32"/>
      <c r="C267" s="32"/>
      <c r="D267" s="33" t="str">
        <f>IF(C267="","",IFERROR(INDEX(품목마스터!$B$2:$B$300,MATCH(C267,품목마스터!$A$2:$A$300,0)),"※미등록"))</f>
        <v/>
      </c>
      <c r="E267" s="31"/>
      <c r="F267" s="32"/>
      <c r="G267" s="32"/>
      <c r="H267" s="32"/>
      <c r="I267" s="32"/>
      <c r="J267" s="32"/>
      <c r="K267" s="32"/>
      <c r="L267" s="32"/>
      <c r="M267" s="32"/>
      <c r="N267" s="32"/>
    </row>
    <row r="268" spans="1:14" ht="15" customHeight="1">
      <c r="A268" s="30"/>
      <c r="B268" s="32"/>
      <c r="C268" s="32"/>
      <c r="D268" s="33" t="str">
        <f>IF(C268="","",IFERROR(INDEX(품목마스터!$B$2:$B$300,MATCH(C268,품목마스터!$A$2:$A$300,0)),"※미등록"))</f>
        <v/>
      </c>
      <c r="E268" s="31"/>
      <c r="F268" s="32"/>
      <c r="G268" s="32"/>
      <c r="H268" s="32"/>
      <c r="I268" s="32"/>
      <c r="J268" s="32"/>
      <c r="K268" s="32"/>
      <c r="L268" s="32"/>
      <c r="M268" s="32"/>
      <c r="N268" s="32"/>
    </row>
    <row r="269" spans="1:14" ht="15" customHeight="1">
      <c r="A269" s="30"/>
      <c r="B269" s="32"/>
      <c r="C269" s="32"/>
      <c r="D269" s="33" t="str">
        <f>IF(C269="","",IFERROR(INDEX(품목마스터!$B$2:$B$300,MATCH(C269,품목마스터!$A$2:$A$300,0)),"※미등록"))</f>
        <v/>
      </c>
      <c r="E269" s="31"/>
      <c r="F269" s="32"/>
      <c r="G269" s="32"/>
      <c r="H269" s="32"/>
      <c r="I269" s="32"/>
      <c r="J269" s="32"/>
      <c r="K269" s="32"/>
      <c r="L269" s="32"/>
      <c r="M269" s="32"/>
      <c r="N269" s="32"/>
    </row>
    <row r="270" spans="1:14" ht="15" customHeight="1">
      <c r="A270" s="30"/>
      <c r="B270" s="32"/>
      <c r="C270" s="32"/>
      <c r="D270" s="33" t="str">
        <f>IF(C270="","",IFERROR(INDEX(품목마스터!$B$2:$B$300,MATCH(C270,품목마스터!$A$2:$A$300,0)),"※미등록"))</f>
        <v/>
      </c>
      <c r="E270" s="31"/>
      <c r="F270" s="32"/>
      <c r="G270" s="32"/>
      <c r="H270" s="32"/>
      <c r="I270" s="32"/>
      <c r="J270" s="32"/>
      <c r="K270" s="32"/>
      <c r="L270" s="32"/>
      <c r="M270" s="32"/>
      <c r="N270" s="32"/>
    </row>
    <row r="271" spans="1:14" ht="15" customHeight="1">
      <c r="A271" s="30"/>
      <c r="B271" s="32"/>
      <c r="C271" s="32"/>
      <c r="D271" s="33" t="str">
        <f>IF(C271="","",IFERROR(INDEX(품목마스터!$B$2:$B$300,MATCH(C271,품목마스터!$A$2:$A$300,0)),"※미등록"))</f>
        <v/>
      </c>
      <c r="E271" s="31"/>
      <c r="F271" s="32"/>
      <c r="G271" s="32"/>
      <c r="H271" s="32"/>
      <c r="I271" s="32"/>
      <c r="J271" s="32"/>
      <c r="K271" s="32"/>
      <c r="L271" s="32"/>
      <c r="M271" s="32"/>
      <c r="N271" s="32"/>
    </row>
    <row r="272" spans="1:14" ht="15" customHeight="1">
      <c r="A272" s="30"/>
      <c r="B272" s="32"/>
      <c r="C272" s="32"/>
      <c r="D272" s="33" t="str">
        <f>IF(C272="","",IFERROR(INDEX(품목마스터!$B$2:$B$300,MATCH(C272,품목마스터!$A$2:$A$300,0)),"※미등록"))</f>
        <v/>
      </c>
      <c r="E272" s="31"/>
      <c r="F272" s="32"/>
      <c r="G272" s="32"/>
      <c r="H272" s="32"/>
      <c r="I272" s="32"/>
      <c r="J272" s="32"/>
      <c r="K272" s="32"/>
      <c r="L272" s="32"/>
      <c r="M272" s="32"/>
      <c r="N272" s="32"/>
    </row>
    <row r="273" spans="1:14" ht="15" customHeight="1">
      <c r="A273" s="30"/>
      <c r="B273" s="32"/>
      <c r="C273" s="32"/>
      <c r="D273" s="33" t="str">
        <f>IF(C273="","",IFERROR(INDEX(품목마스터!$B$2:$B$300,MATCH(C273,품목마스터!$A$2:$A$300,0)),"※미등록"))</f>
        <v/>
      </c>
      <c r="E273" s="31"/>
      <c r="F273" s="32"/>
      <c r="G273" s="32"/>
      <c r="H273" s="32"/>
      <c r="I273" s="32"/>
      <c r="J273" s="32"/>
      <c r="K273" s="32"/>
      <c r="L273" s="32"/>
      <c r="M273" s="32"/>
      <c r="N273" s="32"/>
    </row>
    <row r="274" spans="1:14" ht="15" customHeight="1">
      <c r="A274" s="30"/>
      <c r="B274" s="32"/>
      <c r="C274" s="32"/>
      <c r="D274" s="33" t="str">
        <f>IF(C274="","",IFERROR(INDEX(품목마스터!$B$2:$B$300,MATCH(C274,품목마스터!$A$2:$A$300,0)),"※미등록"))</f>
        <v/>
      </c>
      <c r="E274" s="31"/>
      <c r="F274" s="32"/>
      <c r="G274" s="32"/>
      <c r="H274" s="32"/>
      <c r="I274" s="32"/>
      <c r="J274" s="32"/>
      <c r="K274" s="32"/>
      <c r="L274" s="32"/>
      <c r="M274" s="32"/>
      <c r="N274" s="32"/>
    </row>
    <row r="275" spans="1:14" ht="15" customHeight="1">
      <c r="A275" s="30"/>
      <c r="B275" s="32"/>
      <c r="C275" s="32"/>
      <c r="D275" s="33" t="str">
        <f>IF(C275="","",IFERROR(INDEX(품목마스터!$B$2:$B$300,MATCH(C275,품목마스터!$A$2:$A$300,0)),"※미등록"))</f>
        <v/>
      </c>
      <c r="E275" s="31"/>
      <c r="F275" s="32"/>
      <c r="G275" s="32"/>
      <c r="H275" s="32"/>
      <c r="I275" s="32"/>
      <c r="J275" s="32"/>
      <c r="K275" s="32"/>
      <c r="L275" s="32"/>
      <c r="M275" s="32"/>
      <c r="N275" s="32"/>
    </row>
    <row r="276" spans="1:14" ht="15" customHeight="1">
      <c r="A276" s="30"/>
      <c r="B276" s="32"/>
      <c r="C276" s="32"/>
      <c r="D276" s="33" t="str">
        <f>IF(C276="","",IFERROR(INDEX(품목마스터!$B$2:$B$300,MATCH(C276,품목마스터!$A$2:$A$300,0)),"※미등록"))</f>
        <v/>
      </c>
      <c r="E276" s="31"/>
      <c r="F276" s="32"/>
      <c r="G276" s="32"/>
      <c r="H276" s="32"/>
      <c r="I276" s="32"/>
      <c r="J276" s="32"/>
      <c r="K276" s="32"/>
      <c r="L276" s="32"/>
      <c r="M276" s="32"/>
      <c r="N276" s="32"/>
    </row>
    <row r="277" spans="1:14" ht="15" customHeight="1">
      <c r="A277" s="30"/>
      <c r="B277" s="32"/>
      <c r="C277" s="32"/>
      <c r="D277" s="33" t="str">
        <f>IF(C277="","",IFERROR(INDEX(품목마스터!$B$2:$B$300,MATCH(C277,품목마스터!$A$2:$A$300,0)),"※미등록"))</f>
        <v/>
      </c>
      <c r="E277" s="31"/>
      <c r="F277" s="32"/>
      <c r="G277" s="32"/>
      <c r="H277" s="32"/>
      <c r="I277" s="32"/>
      <c r="J277" s="32"/>
      <c r="K277" s="32"/>
      <c r="L277" s="32"/>
      <c r="M277" s="32"/>
      <c r="N277" s="32"/>
    </row>
    <row r="278" spans="1:14" ht="15" customHeight="1">
      <c r="A278" s="30"/>
      <c r="B278" s="32"/>
      <c r="C278" s="32"/>
      <c r="D278" s="33" t="str">
        <f>IF(C278="","",IFERROR(INDEX(품목마스터!$B$2:$B$300,MATCH(C278,품목마스터!$A$2:$A$300,0)),"※미등록"))</f>
        <v/>
      </c>
      <c r="E278" s="31"/>
      <c r="F278" s="32"/>
      <c r="G278" s="32"/>
      <c r="H278" s="32"/>
      <c r="I278" s="32"/>
      <c r="J278" s="32"/>
      <c r="K278" s="32"/>
      <c r="L278" s="32"/>
      <c r="M278" s="32"/>
      <c r="N278" s="32"/>
    </row>
    <row r="279" spans="1:14" ht="15" customHeight="1">
      <c r="A279" s="30"/>
      <c r="B279" s="32"/>
      <c r="C279" s="32"/>
      <c r="D279" s="33" t="str">
        <f>IF(C279="","",IFERROR(INDEX(품목마스터!$B$2:$B$300,MATCH(C279,품목마스터!$A$2:$A$300,0)),"※미등록"))</f>
        <v/>
      </c>
      <c r="E279" s="31"/>
      <c r="F279" s="32"/>
      <c r="G279" s="32"/>
      <c r="H279" s="32"/>
      <c r="I279" s="32"/>
      <c r="J279" s="32"/>
      <c r="K279" s="32"/>
      <c r="L279" s="32"/>
      <c r="M279" s="32"/>
      <c r="N279" s="32"/>
    </row>
    <row r="280" spans="1:14" ht="15" customHeight="1">
      <c r="A280" s="30"/>
      <c r="B280" s="32"/>
      <c r="C280" s="32"/>
      <c r="D280" s="33" t="str">
        <f>IF(C280="","",IFERROR(INDEX(품목마스터!$B$2:$B$300,MATCH(C280,품목마스터!$A$2:$A$300,0)),"※미등록"))</f>
        <v/>
      </c>
      <c r="E280" s="31"/>
      <c r="F280" s="32"/>
      <c r="G280" s="32"/>
      <c r="H280" s="32"/>
      <c r="I280" s="32"/>
      <c r="J280" s="32"/>
      <c r="K280" s="32"/>
      <c r="L280" s="32"/>
      <c r="M280" s="32"/>
      <c r="N280" s="32"/>
    </row>
    <row r="281" spans="1:14" ht="15" customHeight="1">
      <c r="A281" s="30"/>
      <c r="B281" s="32"/>
      <c r="C281" s="32"/>
      <c r="D281" s="33" t="str">
        <f>IF(C281="","",IFERROR(INDEX(품목마스터!$B$2:$B$300,MATCH(C281,품목마스터!$A$2:$A$300,0)),"※미등록"))</f>
        <v/>
      </c>
      <c r="E281" s="31"/>
      <c r="F281" s="32"/>
      <c r="G281" s="32"/>
      <c r="H281" s="32"/>
      <c r="I281" s="32"/>
      <c r="J281" s="32"/>
      <c r="K281" s="32"/>
      <c r="L281" s="32"/>
      <c r="M281" s="32"/>
      <c r="N281" s="32"/>
    </row>
    <row r="282" spans="1:14" ht="15" customHeight="1">
      <c r="A282" s="30"/>
      <c r="B282" s="32"/>
      <c r="C282" s="32"/>
      <c r="D282" s="33" t="str">
        <f>IF(C282="","",IFERROR(INDEX(품목마스터!$B$2:$B$300,MATCH(C282,품목마스터!$A$2:$A$300,0)),"※미등록"))</f>
        <v/>
      </c>
      <c r="E282" s="31"/>
      <c r="F282" s="32"/>
      <c r="G282" s="32"/>
      <c r="H282" s="32"/>
      <c r="I282" s="32"/>
      <c r="J282" s="32"/>
      <c r="K282" s="32"/>
      <c r="L282" s="32"/>
      <c r="M282" s="32"/>
      <c r="N282" s="32"/>
    </row>
    <row r="283" spans="1:14" ht="15" customHeight="1">
      <c r="A283" s="30"/>
      <c r="B283" s="32"/>
      <c r="C283" s="32"/>
      <c r="D283" s="33" t="str">
        <f>IF(C283="","",IFERROR(INDEX(품목마스터!$B$2:$B$300,MATCH(C283,품목마스터!$A$2:$A$300,0)),"※미등록"))</f>
        <v/>
      </c>
      <c r="E283" s="31"/>
      <c r="F283" s="32"/>
      <c r="G283" s="32"/>
      <c r="H283" s="32"/>
      <c r="I283" s="32"/>
      <c r="J283" s="32"/>
      <c r="K283" s="32"/>
      <c r="L283" s="32"/>
      <c r="M283" s="32"/>
      <c r="N283" s="32"/>
    </row>
    <row r="284" spans="1:14" ht="15" customHeight="1">
      <c r="A284" s="30"/>
      <c r="B284" s="32"/>
      <c r="C284" s="32"/>
      <c r="D284" s="33" t="str">
        <f>IF(C284="","",IFERROR(INDEX(품목마스터!$B$2:$B$300,MATCH(C284,품목마스터!$A$2:$A$300,0)),"※미등록"))</f>
        <v/>
      </c>
      <c r="E284" s="31"/>
      <c r="F284" s="32"/>
      <c r="G284" s="32"/>
      <c r="H284" s="32"/>
      <c r="I284" s="32"/>
      <c r="J284" s="32"/>
      <c r="K284" s="32"/>
      <c r="L284" s="32"/>
      <c r="M284" s="32"/>
      <c r="N284" s="32"/>
    </row>
    <row r="285" spans="1:14" ht="15" customHeight="1">
      <c r="A285" s="30"/>
      <c r="B285" s="32"/>
      <c r="C285" s="32"/>
      <c r="D285" s="33" t="str">
        <f>IF(C285="","",IFERROR(INDEX(품목마스터!$B$2:$B$300,MATCH(C285,품목마스터!$A$2:$A$300,0)),"※미등록"))</f>
        <v/>
      </c>
      <c r="E285" s="31"/>
      <c r="F285" s="32"/>
      <c r="G285" s="32"/>
      <c r="H285" s="32"/>
      <c r="I285" s="32"/>
      <c r="J285" s="32"/>
      <c r="K285" s="32"/>
      <c r="L285" s="32"/>
      <c r="M285" s="32"/>
      <c r="N285" s="32"/>
    </row>
    <row r="286" spans="1:14" ht="15" customHeight="1">
      <c r="A286" s="30"/>
      <c r="B286" s="32"/>
      <c r="C286" s="32"/>
      <c r="D286" s="33" t="str">
        <f>IF(C286="","",IFERROR(INDEX(품목마스터!$B$2:$B$300,MATCH(C286,품목마스터!$A$2:$A$300,0)),"※미등록"))</f>
        <v/>
      </c>
      <c r="E286" s="31"/>
      <c r="F286" s="32"/>
      <c r="G286" s="32"/>
      <c r="H286" s="32"/>
      <c r="I286" s="32"/>
      <c r="J286" s="32"/>
      <c r="K286" s="32"/>
      <c r="L286" s="32"/>
      <c r="M286" s="32"/>
      <c r="N286" s="32"/>
    </row>
    <row r="287" spans="1:14" ht="15" customHeight="1">
      <c r="A287" s="30"/>
      <c r="B287" s="32"/>
      <c r="C287" s="32"/>
      <c r="D287" s="33" t="str">
        <f>IF(C287="","",IFERROR(INDEX(품목마스터!$B$2:$B$300,MATCH(C287,품목마스터!$A$2:$A$300,0)),"※미등록"))</f>
        <v/>
      </c>
      <c r="E287" s="31"/>
      <c r="F287" s="32"/>
      <c r="G287" s="32"/>
      <c r="H287" s="32"/>
      <c r="I287" s="32"/>
      <c r="J287" s="32"/>
      <c r="K287" s="32"/>
      <c r="L287" s="32"/>
      <c r="M287" s="32"/>
      <c r="N287" s="32"/>
    </row>
    <row r="288" spans="1:14" ht="15" customHeight="1">
      <c r="A288" s="30"/>
      <c r="B288" s="32"/>
      <c r="C288" s="32"/>
      <c r="D288" s="33" t="str">
        <f>IF(C288="","",IFERROR(INDEX(품목마스터!$B$2:$B$300,MATCH(C288,품목마스터!$A$2:$A$300,0)),"※미등록"))</f>
        <v/>
      </c>
      <c r="E288" s="31"/>
      <c r="F288" s="32"/>
      <c r="G288" s="32"/>
      <c r="H288" s="32"/>
      <c r="I288" s="32"/>
      <c r="J288" s="32"/>
      <c r="K288" s="32"/>
      <c r="L288" s="32"/>
      <c r="M288" s="32"/>
      <c r="N288" s="32"/>
    </row>
    <row r="289" spans="1:14" ht="15" customHeight="1">
      <c r="A289" s="30"/>
      <c r="B289" s="32"/>
      <c r="C289" s="32"/>
      <c r="D289" s="33" t="str">
        <f>IF(C289="","",IFERROR(INDEX(품목마스터!$B$2:$B$300,MATCH(C289,품목마스터!$A$2:$A$300,0)),"※미등록"))</f>
        <v/>
      </c>
      <c r="E289" s="31"/>
      <c r="F289" s="32"/>
      <c r="G289" s="32"/>
      <c r="H289" s="32"/>
      <c r="I289" s="32"/>
      <c r="J289" s="32"/>
      <c r="K289" s="32"/>
      <c r="L289" s="32"/>
      <c r="M289" s="32"/>
      <c r="N289" s="32"/>
    </row>
    <row r="290" spans="1:14" ht="15" customHeight="1">
      <c r="A290" s="30"/>
      <c r="B290" s="32"/>
      <c r="C290" s="32"/>
      <c r="D290" s="33" t="str">
        <f>IF(C290="","",IFERROR(INDEX(품목마스터!$B$2:$B$300,MATCH(C290,품목마스터!$A$2:$A$300,0)),"※미등록"))</f>
        <v/>
      </c>
      <c r="E290" s="31"/>
      <c r="F290" s="32"/>
      <c r="G290" s="32"/>
      <c r="H290" s="32"/>
      <c r="I290" s="32"/>
      <c r="J290" s="32"/>
      <c r="K290" s="32"/>
      <c r="L290" s="32"/>
      <c r="M290" s="32"/>
      <c r="N290" s="32"/>
    </row>
    <row r="291" spans="1:14" ht="15" customHeight="1">
      <c r="A291" s="30"/>
      <c r="B291" s="32"/>
      <c r="C291" s="32"/>
      <c r="D291" s="33" t="str">
        <f>IF(C291="","",IFERROR(INDEX(품목마스터!$B$2:$B$300,MATCH(C291,품목마스터!$A$2:$A$300,0)),"※미등록"))</f>
        <v/>
      </c>
      <c r="E291" s="31"/>
      <c r="F291" s="32"/>
      <c r="G291" s="32"/>
      <c r="H291" s="32"/>
      <c r="I291" s="32"/>
      <c r="J291" s="32"/>
      <c r="K291" s="32"/>
      <c r="L291" s="32"/>
      <c r="M291" s="32"/>
      <c r="N291" s="32"/>
    </row>
    <row r="292" spans="1:14" ht="15" customHeight="1">
      <c r="A292" s="30"/>
      <c r="B292" s="32"/>
      <c r="C292" s="32"/>
      <c r="D292" s="33" t="str">
        <f>IF(C292="","",IFERROR(INDEX(품목마스터!$B$2:$B$300,MATCH(C292,품목마스터!$A$2:$A$300,0)),"※미등록"))</f>
        <v/>
      </c>
      <c r="E292" s="31"/>
      <c r="F292" s="32"/>
      <c r="G292" s="32"/>
      <c r="H292" s="32"/>
      <c r="I292" s="32"/>
      <c r="J292" s="32"/>
      <c r="K292" s="32"/>
      <c r="L292" s="32"/>
      <c r="M292" s="32"/>
      <c r="N292" s="32"/>
    </row>
    <row r="293" spans="1:14" ht="15" customHeight="1">
      <c r="A293" s="30"/>
      <c r="B293" s="32"/>
      <c r="C293" s="32"/>
      <c r="D293" s="33" t="str">
        <f>IF(C293="","",IFERROR(INDEX(품목마스터!$B$2:$B$300,MATCH(C293,품목마스터!$A$2:$A$300,0)),"※미등록"))</f>
        <v/>
      </c>
      <c r="E293" s="31"/>
      <c r="F293" s="32"/>
      <c r="G293" s="32"/>
      <c r="H293" s="32"/>
      <c r="I293" s="32"/>
      <c r="J293" s="32"/>
      <c r="K293" s="32"/>
      <c r="L293" s="32"/>
      <c r="M293" s="32"/>
      <c r="N293" s="32"/>
    </row>
    <row r="294" spans="1:14" ht="15" customHeight="1">
      <c r="A294" s="30"/>
      <c r="B294" s="32"/>
      <c r="C294" s="32"/>
      <c r="D294" s="33" t="str">
        <f>IF(C294="","",IFERROR(INDEX(품목마스터!$B$2:$B$300,MATCH(C294,품목마스터!$A$2:$A$300,0)),"※미등록"))</f>
        <v/>
      </c>
      <c r="E294" s="31"/>
      <c r="F294" s="32"/>
      <c r="G294" s="32"/>
      <c r="H294" s="32"/>
      <c r="I294" s="32"/>
      <c r="J294" s="32"/>
      <c r="K294" s="32"/>
      <c r="L294" s="32"/>
      <c r="M294" s="32"/>
      <c r="N294" s="32"/>
    </row>
    <row r="295" spans="1:14" ht="15" customHeight="1">
      <c r="A295" s="30"/>
      <c r="B295" s="32"/>
      <c r="C295" s="32"/>
      <c r="D295" s="33" t="str">
        <f>IF(C295="","",IFERROR(INDEX(품목마스터!$B$2:$B$300,MATCH(C295,품목마스터!$A$2:$A$300,0)),"※미등록"))</f>
        <v/>
      </c>
      <c r="E295" s="31"/>
      <c r="F295" s="32"/>
      <c r="G295" s="32"/>
      <c r="H295" s="32"/>
      <c r="I295" s="32"/>
      <c r="J295" s="32"/>
      <c r="K295" s="32"/>
      <c r="L295" s="32"/>
      <c r="M295" s="32"/>
      <c r="N295" s="32"/>
    </row>
    <row r="296" spans="1:14" ht="15" customHeight="1">
      <c r="A296" s="30"/>
      <c r="B296" s="32"/>
      <c r="C296" s="32"/>
      <c r="D296" s="33" t="str">
        <f>IF(C296="","",IFERROR(INDEX(품목마스터!$B$2:$B$300,MATCH(C296,품목마스터!$A$2:$A$300,0)),"※미등록"))</f>
        <v/>
      </c>
      <c r="E296" s="31"/>
      <c r="F296" s="32"/>
      <c r="G296" s="32"/>
      <c r="H296" s="32"/>
      <c r="I296" s="32"/>
      <c r="J296" s="32"/>
      <c r="K296" s="32"/>
      <c r="L296" s="32"/>
      <c r="M296" s="32"/>
      <c r="N296" s="32"/>
    </row>
    <row r="297" spans="1:14" ht="15" customHeight="1">
      <c r="A297" s="30"/>
      <c r="B297" s="32"/>
      <c r="C297" s="32"/>
      <c r="D297" s="33" t="str">
        <f>IF(C297="","",IFERROR(INDEX(품목마스터!$B$2:$B$300,MATCH(C297,품목마스터!$A$2:$A$300,0)),"※미등록"))</f>
        <v/>
      </c>
      <c r="E297" s="31"/>
      <c r="F297" s="32"/>
      <c r="G297" s="32"/>
      <c r="H297" s="32"/>
      <c r="I297" s="32"/>
      <c r="J297" s="32"/>
      <c r="K297" s="32"/>
      <c r="L297" s="32"/>
      <c r="M297" s="32"/>
      <c r="N297" s="32"/>
    </row>
    <row r="298" spans="1:14" ht="15" customHeight="1">
      <c r="A298" s="30"/>
      <c r="B298" s="32"/>
      <c r="C298" s="32"/>
      <c r="D298" s="33" t="str">
        <f>IF(C298="","",IFERROR(INDEX(품목마스터!$B$2:$B$300,MATCH(C298,품목마스터!$A$2:$A$300,0)),"※미등록"))</f>
        <v/>
      </c>
      <c r="E298" s="31"/>
      <c r="F298" s="32"/>
      <c r="G298" s="32"/>
      <c r="H298" s="32"/>
      <c r="I298" s="32"/>
      <c r="J298" s="32"/>
      <c r="K298" s="32"/>
      <c r="L298" s="32"/>
      <c r="M298" s="32"/>
      <c r="N298" s="32"/>
    </row>
    <row r="299" spans="1:14" ht="15" customHeight="1">
      <c r="A299" s="30"/>
      <c r="B299" s="32"/>
      <c r="C299" s="32"/>
      <c r="D299" s="33" t="str">
        <f>IF(C299="","",IFERROR(INDEX(품목마스터!$B$2:$B$300,MATCH(C299,품목마스터!$A$2:$A$300,0)),"※미등록"))</f>
        <v/>
      </c>
      <c r="E299" s="31"/>
      <c r="F299" s="32"/>
      <c r="G299" s="32"/>
      <c r="H299" s="32"/>
      <c r="I299" s="32"/>
      <c r="J299" s="32"/>
      <c r="K299" s="32"/>
      <c r="L299" s="32"/>
      <c r="M299" s="32"/>
      <c r="N299" s="32"/>
    </row>
    <row r="300" spans="1:14" ht="15" customHeight="1">
      <c r="A300" s="30"/>
      <c r="B300" s="32"/>
      <c r="C300" s="32"/>
      <c r="D300" s="33" t="str">
        <f>IF(C300="","",IFERROR(INDEX(품목마스터!$B$2:$B$300,MATCH(C300,품목마스터!$A$2:$A$300,0)),"※미등록"))</f>
        <v/>
      </c>
      <c r="E300" s="31"/>
      <c r="F300" s="32"/>
      <c r="G300" s="32"/>
      <c r="H300" s="32"/>
      <c r="I300" s="32"/>
      <c r="J300" s="32"/>
      <c r="K300" s="32"/>
      <c r="L300" s="32"/>
      <c r="M300" s="32"/>
      <c r="N300" s="32"/>
    </row>
  </sheetData>
  <autoFilter ref="A1:N300" xr:uid="{00000000-0009-0000-0000-000009000000}"/>
  <phoneticPr fontId="23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입력 오류" error="코드표에 등록된 값만 입력할 수 있습니다." xr:uid="{00000000-0002-0000-0900-000000000000}">
          <x14:formula1>
            <xm:f>코드표!$H$2:$H$7</xm:f>
          </x14:formula1>
          <x14:formula2>
            <xm:f>0</xm:f>
          </x14:formula2>
          <xm:sqref>E2:E300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9" width="14" customWidth="1"/>
  </cols>
  <sheetData>
    <row r="1" spans="1:9" ht="15" customHeight="1">
      <c r="A1" s="37" t="s">
        <v>198</v>
      </c>
      <c r="B1" s="37" t="s">
        <v>200</v>
      </c>
      <c r="C1" s="37" t="s">
        <v>404</v>
      </c>
      <c r="D1" s="37" t="s">
        <v>387</v>
      </c>
      <c r="E1" s="37" t="s">
        <v>468</v>
      </c>
      <c r="F1" s="37" t="s">
        <v>408</v>
      </c>
      <c r="G1" s="37" t="s">
        <v>469</v>
      </c>
      <c r="H1" s="37" t="s">
        <v>453</v>
      </c>
      <c r="I1" s="37" t="s">
        <v>305</v>
      </c>
    </row>
    <row r="2" spans="1:9" ht="15" customHeight="1">
      <c r="A2" s="31" t="s">
        <v>209</v>
      </c>
      <c r="B2" s="31" t="s">
        <v>210</v>
      </c>
      <c r="C2" s="31" t="s">
        <v>193</v>
      </c>
      <c r="D2" s="31" t="s">
        <v>400</v>
      </c>
      <c r="E2" s="31" t="s">
        <v>193</v>
      </c>
      <c r="F2" s="31" t="s">
        <v>414</v>
      </c>
      <c r="G2" s="31" t="s">
        <v>324</v>
      </c>
      <c r="H2" s="31" t="s">
        <v>463</v>
      </c>
      <c r="I2" s="31" t="s">
        <v>307</v>
      </c>
    </row>
    <row r="3" spans="1:9" ht="15" customHeight="1">
      <c r="A3" s="31" t="s">
        <v>236</v>
      </c>
      <c r="B3" s="31" t="s">
        <v>217</v>
      </c>
      <c r="C3" s="32" t="s">
        <v>15</v>
      </c>
      <c r="D3" s="31" t="s">
        <v>396</v>
      </c>
      <c r="E3" s="31" t="s">
        <v>187</v>
      </c>
      <c r="F3" s="31" t="s">
        <v>420</v>
      </c>
      <c r="G3" s="32" t="s">
        <v>337</v>
      </c>
      <c r="H3" s="31" t="s">
        <v>470</v>
      </c>
      <c r="I3" s="31" t="s">
        <v>310</v>
      </c>
    </row>
    <row r="4" spans="1:9" ht="15" customHeight="1">
      <c r="A4" s="31" t="s">
        <v>265</v>
      </c>
      <c r="B4" s="31" t="s">
        <v>262</v>
      </c>
      <c r="C4" s="32" t="s">
        <v>18</v>
      </c>
      <c r="D4" s="31" t="s">
        <v>393</v>
      </c>
      <c r="E4" s="31" t="s">
        <v>471</v>
      </c>
      <c r="F4" s="31" t="s">
        <v>431</v>
      </c>
      <c r="G4" s="31" t="s">
        <v>291</v>
      </c>
      <c r="H4" s="31" t="s">
        <v>472</v>
      </c>
    </row>
    <row r="5" spans="1:9" ht="15" customHeight="1">
      <c r="A5" s="32" t="s">
        <v>286</v>
      </c>
      <c r="B5" s="31" t="s">
        <v>269</v>
      </c>
      <c r="C5" s="32" t="s">
        <v>21</v>
      </c>
      <c r="D5" s="31" t="s">
        <v>473</v>
      </c>
      <c r="E5" s="31" t="s">
        <v>474</v>
      </c>
      <c r="F5" s="31" t="s">
        <v>429</v>
      </c>
      <c r="G5" s="31" t="s">
        <v>345</v>
      </c>
      <c r="H5" s="32" t="s">
        <v>475</v>
      </c>
    </row>
    <row r="6" spans="1:9" ht="15" customHeight="1">
      <c r="B6" s="31" t="s">
        <v>253</v>
      </c>
      <c r="C6" s="32" t="s">
        <v>426</v>
      </c>
      <c r="D6" s="31" t="s">
        <v>476</v>
      </c>
      <c r="G6" s="31" t="s">
        <v>477</v>
      </c>
      <c r="H6" s="31" t="s">
        <v>478</v>
      </c>
    </row>
    <row r="7" spans="1:9" ht="15" customHeight="1">
      <c r="B7" s="31" t="s">
        <v>291</v>
      </c>
      <c r="C7" s="31" t="s">
        <v>474</v>
      </c>
      <c r="G7" s="31" t="s">
        <v>479</v>
      </c>
      <c r="H7" s="31" t="s">
        <v>479</v>
      </c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상품마스터</vt:lpstr>
      <vt:lpstr>품목마스터</vt:lpstr>
      <vt:lpstr>BOM</vt:lpstr>
      <vt:lpstr>협력사마스터</vt:lpstr>
      <vt:lpstr>담당자마스터</vt:lpstr>
      <vt:lpstr>AVL</vt:lpstr>
      <vt:lpstr>NPI진행현황</vt:lpstr>
      <vt:lpstr>상품별완성률</vt:lpstr>
      <vt:lpstr>ECN변경이력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근정 박</cp:lastModifiedBy>
  <cp:revision>0</cp:revision>
  <dcterms:created xsi:type="dcterms:W3CDTF">2026-09-06T04:32:57Z</dcterms:created>
  <dcterms:modified xsi:type="dcterms:W3CDTF">2026-09-06T05:35:12Z</dcterms:modified>
  <dc:language>en-US</dc:language>
</cp:coreProperties>
</file>